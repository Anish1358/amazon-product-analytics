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ish\OneDrive\Documents\Desktop\jupyter notbook\DASHBOARD PROj\"/>
    </mc:Choice>
  </mc:AlternateContent>
  <xr:revisionPtr revIDLastSave="0" documentId="13_ncr:1_{04AB3A12-5180-4105-B972-815A987C2F9D}"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Summary" sheetId="2" r:id="rId2"/>
    <sheet name="Senti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B6" i="3"/>
  <c r="C5" i="3"/>
  <c r="B5" i="3"/>
  <c r="C4" i="3"/>
  <c r="B4" i="3"/>
  <c r="B19" i="2"/>
  <c r="B18" i="2"/>
  <c r="B17" i="2"/>
  <c r="B16" i="2"/>
  <c r="F12" i="2"/>
  <c r="E12" i="2"/>
  <c r="D12" i="2"/>
  <c r="C12" i="2"/>
  <c r="B12" i="2"/>
  <c r="F11" i="2"/>
  <c r="E11" i="2"/>
  <c r="D11" i="2"/>
  <c r="C11" i="2"/>
  <c r="B11" i="2"/>
  <c r="F10" i="2"/>
  <c r="E10" i="2"/>
  <c r="D10" i="2"/>
  <c r="C10" i="2"/>
  <c r="B10" i="2"/>
  <c r="F9" i="2"/>
  <c r="E9" i="2"/>
  <c r="D9" i="2"/>
  <c r="C9" i="2"/>
  <c r="B9" i="2"/>
  <c r="F8" i="2"/>
  <c r="E8" i="2"/>
  <c r="D8" i="2"/>
  <c r="C8" i="2"/>
  <c r="B8" i="2"/>
  <c r="F7" i="2"/>
  <c r="E7" i="2"/>
  <c r="D7" i="2"/>
  <c r="C7" i="2"/>
  <c r="B7" i="2"/>
  <c r="F6" i="2"/>
  <c r="E6" i="2"/>
  <c r="D6" i="2"/>
  <c r="C6" i="2"/>
  <c r="B6" i="2"/>
  <c r="F5" i="2"/>
  <c r="E5" i="2"/>
  <c r="D5" i="2"/>
  <c r="C5" i="2"/>
  <c r="B5" i="2"/>
  <c r="F4" i="2"/>
  <c r="E4" i="2"/>
  <c r="D4" i="2"/>
  <c r="C4" i="2"/>
  <c r="B4" i="2"/>
</calcChain>
</file>

<file path=xl/sharedStrings.xml><?xml version="1.0" encoding="utf-8"?>
<sst xmlns="http://schemas.openxmlformats.org/spreadsheetml/2006/main" count="8129" uniqueCount="2933">
  <si>
    <t>product_id</t>
  </si>
  <si>
    <t>product_name</t>
  </si>
  <si>
    <t>main_category</t>
  </si>
  <si>
    <t>sub_category</t>
  </si>
  <si>
    <t>actual_price</t>
  </si>
  <si>
    <t>discounted_price</t>
  </si>
  <si>
    <t>discount_percentage</t>
  </si>
  <si>
    <t>savings_amount</t>
  </si>
  <si>
    <t>price_bucket</t>
  </si>
  <si>
    <t>rating</t>
  </si>
  <si>
    <t>rating_count</t>
  </si>
  <si>
    <t>sentiment_score</t>
  </si>
  <si>
    <t>sentiment_label</t>
  </si>
  <si>
    <t>B07JW9H4J1</t>
  </si>
  <si>
    <t>Wayona Nylon Braided USB to Lightning Fast Charging and Data Sync Cable Compatible for iPhone 13, 12,11, X, 8, 7, 6, 5, iPad Air, Pro, Mini (3 FT Pack of 1, Grey)</t>
  </si>
  <si>
    <t>Computers&amp;Accessories</t>
  </si>
  <si>
    <t>USBCables</t>
  </si>
  <si>
    <t>Under 500</t>
  </si>
  <si>
    <t>Positive</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</si>
  <si>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</si>
  <si>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</si>
  <si>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</si>
  <si>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</si>
  <si>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</si>
  <si>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</si>
  <si>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</si>
  <si>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</si>
  <si>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</si>
  <si>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</si>
  <si>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</si>
  <si>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</si>
  <si>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</si>
  <si>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</si>
  <si>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</si>
  <si>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</si>
  <si>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WirelessUSBAdapters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</si>
  <si>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</si>
  <si>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</si>
  <si>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</si>
  <si>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</si>
  <si>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</si>
  <si>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</si>
  <si>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</si>
  <si>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</si>
  <si>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</si>
  <si>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HDMICables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</si>
  <si>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</si>
  <si>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</si>
  <si>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</si>
  <si>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</si>
  <si>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</si>
  <si>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</si>
  <si>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</si>
  <si>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</si>
  <si>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SmartTelevisions</t>
  </si>
  <si>
    <t>5000-20000</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</si>
  <si>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</si>
  <si>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</si>
  <si>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</si>
  <si>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</si>
  <si>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</si>
  <si>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</si>
  <si>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</si>
  <si>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</si>
  <si>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500-1500</t>
  </si>
  <si>
    <t>B085194JFL</t>
  </si>
  <si>
    <t>tizum HDMI to VGA Adapter Cable 1080P for Projector, Computer, Laptop, TV, Projectors &amp; TV</t>
  </si>
  <si>
    <t>B09F6S8BT6</t>
  </si>
  <si>
    <t>Samsung 80 cm (32 Inches) Wondertainment Series HD Ready LED Smart TV UA32T4340BKXXL (Glossy Black)</t>
  </si>
  <si>
    <t>Negative</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</si>
  <si>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</si>
  <si>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</si>
  <si>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</si>
  <si>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</si>
  <si>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</si>
  <si>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</si>
  <si>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</si>
  <si>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</si>
  <si>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</si>
  <si>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</si>
  <si>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</si>
  <si>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</si>
  <si>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</si>
  <si>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</si>
  <si>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</si>
  <si>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</si>
  <si>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</si>
  <si>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</si>
  <si>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</si>
  <si>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</si>
  <si>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</si>
  <si>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</si>
  <si>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</si>
  <si>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</si>
  <si>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</si>
  <si>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</si>
  <si>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</si>
  <si>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</si>
  <si>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</si>
  <si>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 Red, 1 Meter</t>
  </si>
  <si>
    <t>B0B3MMYHYW</t>
  </si>
  <si>
    <t>OnePlus 126 cm (50 inches) Y Series 4K Ultra HD Smart Android LED TV 50Y1S Pro (Black)</t>
  </si>
  <si>
    <t>20000+</t>
  </si>
  <si>
    <t>Neutral</t>
  </si>
  <si>
    <t>B09C6HWG18</t>
  </si>
  <si>
    <t>Duracell Type C To Type C 5A (100W) Braided Sync &amp; Fast Charging Cable, 3.9 Feet (1.2M). USB C to C Cable, Supports PD &amp; QC 3.0 Charging, 5 GBPS Data Transmission –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</si>
  <si>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</si>
  <si>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</si>
  <si>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</si>
  <si>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</si>
  <si>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</si>
  <si>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</si>
  <si>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</si>
  <si>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</si>
  <si>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</si>
  <si>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</si>
  <si>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</si>
  <si>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</si>
  <si>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</si>
  <si>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</si>
  <si>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</si>
  <si>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</si>
  <si>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</si>
  <si>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 Compatible for Samsung Smart 4K Ultra HD TV Monitor Remote Control Replacement of Original Samsung TV Remote for LED OLED UHD QLED and Suitable for 6 7 8 Series Samsung TV with Hot Keys BN59-01259E</t>
  </si>
  <si>
    <t>RemoteControls</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</si>
  <si>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</si>
  <si>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</si>
  <si>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</si>
  <si>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</si>
  <si>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</si>
  <si>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</si>
  <si>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</si>
  <si>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</si>
  <si>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</si>
  <si>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</si>
  <si>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StandardTelevisions</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</si>
  <si>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</si>
  <si>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</si>
  <si>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</si>
  <si>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</si>
  <si>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</si>
  <si>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</si>
  <si>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</si>
  <si>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</si>
  <si>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</si>
  <si>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</si>
  <si>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</si>
  <si>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</si>
  <si>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</si>
  <si>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</si>
  <si>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</si>
  <si>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</si>
  <si>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</si>
  <si>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</si>
  <si>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</si>
  <si>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</si>
  <si>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</si>
  <si>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</si>
  <si>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</si>
  <si>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</si>
  <si>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</si>
  <si>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</si>
  <si>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</si>
  <si>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</si>
  <si>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</si>
  <si>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</si>
  <si>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TVWall&amp;CeilingMounts</t>
  </si>
  <si>
    <t>1500-5000</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</si>
  <si>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</si>
  <si>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</si>
  <si>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</si>
  <si>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</si>
  <si>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</si>
  <si>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</si>
  <si>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</si>
  <si>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</si>
  <si>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</si>
  <si>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</si>
  <si>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</si>
  <si>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</si>
  <si>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</si>
  <si>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</si>
  <si>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</si>
  <si>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</si>
  <si>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</si>
  <si>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</si>
  <si>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</si>
  <si>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</si>
  <si>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</si>
  <si>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</si>
  <si>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</si>
  <si>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</si>
  <si>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</si>
  <si>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</si>
  <si>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</si>
  <si>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</si>
  <si>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</si>
  <si>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</si>
  <si>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</si>
  <si>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</si>
  <si>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</si>
  <si>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</si>
  <si>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</si>
  <si>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</si>
  <si>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</si>
  <si>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</si>
  <si>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</si>
  <si>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</si>
  <si>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</si>
  <si>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</si>
  <si>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</si>
  <si>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</si>
  <si>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</si>
  <si>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</si>
  <si>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</si>
  <si>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</si>
  <si>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</si>
  <si>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</si>
  <si>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</si>
  <si>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</si>
  <si>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</si>
  <si>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</si>
  <si>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</si>
  <si>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</si>
  <si>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</si>
  <si>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</si>
  <si>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</si>
  <si>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</si>
  <si>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</si>
  <si>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</si>
  <si>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</si>
  <si>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</si>
  <si>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</si>
  <si>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</si>
  <si>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</si>
  <si>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</si>
  <si>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</si>
  <si>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</si>
  <si>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</si>
  <si>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</si>
  <si>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</si>
  <si>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</si>
  <si>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</si>
  <si>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</si>
  <si>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</si>
  <si>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</si>
  <si>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</si>
  <si>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</si>
  <si>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</si>
  <si>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</si>
  <si>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</si>
  <si>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</si>
  <si>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</si>
  <si>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</si>
  <si>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</si>
  <si>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</si>
  <si>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</si>
  <si>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</si>
  <si>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</si>
  <si>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</si>
  <si>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</si>
  <si>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</si>
  <si>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</si>
  <si>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</si>
  <si>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</si>
  <si>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</si>
  <si>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</si>
  <si>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</si>
  <si>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</si>
  <si>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</si>
  <si>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</si>
  <si>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</si>
  <si>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</si>
  <si>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</si>
  <si>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</si>
  <si>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</si>
  <si>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</si>
  <si>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</si>
  <si>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</si>
  <si>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</si>
  <si>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</si>
  <si>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</si>
  <si>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</si>
  <si>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</si>
  <si>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</si>
  <si>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 32F53 (Black)</t>
  </si>
  <si>
    <t>B09MM6P76N</t>
  </si>
  <si>
    <t>7SEVEN® Compatible Lg Smart Tv Remote Suitable for Any LG LED OLED LCD UHD Plasma Android Television and AKB75095303 replacement of Original Lg Tv Remote Control</t>
  </si>
  <si>
    <t>B01D5H8LDM</t>
  </si>
  <si>
    <t>AmazonBasics 3.5mm to 2-Male RCA Adapter Cable For Tablet, Smartphone (Black, 15 feet)</t>
  </si>
  <si>
    <t>RCACables</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</si>
  <si>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</si>
  <si>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</si>
  <si>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</si>
  <si>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</si>
  <si>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</si>
  <si>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</si>
  <si>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Mounts</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</si>
  <si>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</si>
  <si>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</si>
  <si>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</si>
  <si>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</si>
  <si>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</si>
  <si>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</si>
  <si>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</si>
  <si>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</si>
  <si>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</si>
  <si>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</si>
  <si>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</si>
  <si>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</si>
  <si>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</si>
  <si>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</si>
  <si>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</si>
  <si>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</si>
  <si>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</si>
  <si>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</si>
  <si>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</si>
  <si>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</si>
  <si>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</si>
  <si>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</si>
  <si>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</si>
  <si>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</si>
  <si>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</si>
  <si>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</si>
  <si>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</si>
  <si>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</si>
  <si>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</si>
  <si>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</si>
  <si>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</si>
  <si>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</si>
  <si>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OpticalCables</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</si>
  <si>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</si>
  <si>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</si>
  <si>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</si>
  <si>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</si>
  <si>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</si>
  <si>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</si>
  <si>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</si>
  <si>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</si>
  <si>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</si>
  <si>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</si>
  <si>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</si>
  <si>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</si>
  <si>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</si>
  <si>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 Compatible for Tata Sky Remote Original Set Top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</si>
  <si>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</si>
  <si>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</si>
  <si>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</si>
  <si>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</si>
  <si>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Projectors</t>
  </si>
  <si>
    <t>B07VSG5SXZ</t>
  </si>
  <si>
    <t>ZEBRONICS HAA2021 HDMI version 2.1 cable with 8K @ 60Hz, 4K @ 120Hz, eARC &amp; CEC support, 3D compatible, 2 meters length, 48Gbps max and Gold-plated connectors</t>
  </si>
  <si>
    <t>B08RWCZ6SY</t>
  </si>
  <si>
    <t>7SEVEN®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</si>
  <si>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</si>
  <si>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</si>
  <si>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</si>
  <si>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</si>
  <si>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</si>
  <si>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</si>
  <si>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</si>
  <si>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</si>
  <si>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</si>
  <si>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</si>
  <si>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</si>
  <si>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</si>
  <si>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</si>
  <si>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</si>
  <si>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</si>
  <si>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</si>
  <si>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</si>
  <si>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</si>
  <si>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</si>
  <si>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</si>
  <si>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</si>
  <si>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</si>
  <si>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</si>
  <si>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</si>
  <si>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</si>
  <si>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</si>
  <si>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</si>
  <si>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</si>
  <si>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</si>
  <si>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</si>
  <si>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</si>
  <si>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</si>
  <si>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</si>
  <si>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</si>
  <si>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</si>
  <si>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</si>
  <si>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</si>
  <si>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</si>
  <si>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</si>
  <si>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</si>
  <si>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</si>
  <si>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</si>
  <si>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</si>
  <si>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</si>
  <si>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</si>
  <si>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</si>
  <si>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</si>
  <si>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</si>
  <si>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</si>
  <si>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</si>
  <si>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</si>
  <si>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</si>
  <si>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</si>
  <si>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</si>
  <si>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</si>
  <si>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</si>
  <si>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</si>
  <si>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</si>
  <si>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</si>
  <si>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</si>
  <si>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</si>
  <si>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</si>
  <si>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</si>
  <si>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</si>
  <si>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</si>
  <si>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</si>
  <si>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</si>
  <si>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</si>
  <si>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</si>
  <si>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</si>
  <si>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</si>
  <si>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</si>
  <si>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</si>
  <si>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</si>
  <si>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</si>
  <si>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</si>
  <si>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</si>
  <si>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</si>
  <si>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</si>
  <si>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</si>
  <si>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</si>
  <si>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</si>
  <si>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</si>
  <si>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</si>
  <si>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</si>
  <si>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</si>
  <si>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</si>
  <si>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</si>
  <si>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</si>
  <si>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</si>
  <si>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</si>
  <si>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</si>
  <si>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</si>
  <si>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</si>
  <si>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</si>
  <si>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</si>
  <si>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</si>
  <si>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</si>
  <si>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</si>
  <si>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</si>
  <si>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</si>
  <si>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</si>
  <si>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</si>
  <si>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</si>
  <si>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</si>
  <si>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</si>
  <si>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</si>
  <si>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</si>
  <si>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</si>
  <si>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</si>
  <si>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</si>
  <si>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</si>
  <si>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</si>
  <si>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</si>
  <si>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</si>
  <si>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</si>
  <si>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</si>
  <si>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</si>
  <si>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Adapters</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</si>
  <si>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</si>
  <si>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</si>
  <si>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</si>
  <si>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</si>
  <si>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</si>
  <si>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</si>
  <si>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</si>
  <si>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</si>
  <si>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</si>
  <si>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</si>
  <si>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</si>
  <si>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</si>
  <si>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SatelliteReceivers</t>
  </si>
  <si>
    <t>B09H39KTTB</t>
  </si>
  <si>
    <t>Remote Compatible for Samsung LED/LCD Remote Control Works with Samsung LED/LCD TV by Trend Trail</t>
  </si>
  <si>
    <t>B08DCVRW98</t>
  </si>
  <si>
    <t>SoniVision SA-D10 SA-D100 SA-D40 Home Theater Systems Remote Compatible with Sony RM-ANU156</t>
  </si>
  <si>
    <t>B0718ZN31Q</t>
  </si>
  <si>
    <t>Rts™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</si>
  <si>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</si>
  <si>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</si>
  <si>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</si>
  <si>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</si>
  <si>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</si>
  <si>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</si>
  <si>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DVICables</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</si>
  <si>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</si>
  <si>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</si>
  <si>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</si>
  <si>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</si>
  <si>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</si>
  <si>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</si>
  <si>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</si>
  <si>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</si>
  <si>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</si>
  <si>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</si>
  <si>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</si>
  <si>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</si>
  <si>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</si>
  <si>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</si>
  <si>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</si>
  <si>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</si>
  <si>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</si>
  <si>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</si>
  <si>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SpeakerCables</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</si>
  <si>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</si>
  <si>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</si>
  <si>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</si>
  <si>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</si>
  <si>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</si>
  <si>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TV’s, Universal Fixed TV Wall Mount Stand (M452)</t>
  </si>
  <si>
    <t>B09L835C3V</t>
  </si>
  <si>
    <t>Smashtronics®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</si>
  <si>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</si>
  <si>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</si>
  <si>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</si>
  <si>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</si>
  <si>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</si>
  <si>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</si>
  <si>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</si>
  <si>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</si>
  <si>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</si>
  <si>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</si>
  <si>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</si>
  <si>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</si>
  <si>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</si>
  <si>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 Compatible for Mi tv Remote Control Original Suitable with Smart Android 4K LED Non Voice Command Xiaomi Redmi Remote of 4A Model 32 43 55 65 inches</t>
  </si>
  <si>
    <t>B09RQRZW2X</t>
  </si>
  <si>
    <t>7SEVEN®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</si>
  <si>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</si>
  <si>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</si>
  <si>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</si>
  <si>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</si>
  <si>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</si>
  <si>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</si>
  <si>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</si>
  <si>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</si>
  <si>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</si>
  <si>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</si>
  <si>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</si>
  <si>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</si>
  <si>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</si>
  <si>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</si>
  <si>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</si>
  <si>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</si>
  <si>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</si>
  <si>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</si>
  <si>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</si>
  <si>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</si>
  <si>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</si>
  <si>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 Black</t>
  </si>
  <si>
    <t>B09F6D21BY</t>
  </si>
  <si>
    <t>7SEVEN Compatible LG TV Remote Suitable for LG Non Magic Smart tv Remote Control (Mouse &amp; Voice Non-Support) MR20GA Prime Video and Netflix Hotkeys</t>
  </si>
  <si>
    <t>B09LQQYNZQ</t>
  </si>
  <si>
    <t>Realme Smart TV Stick 4K</t>
  </si>
  <si>
    <t>StreamingClients</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</si>
  <si>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</si>
  <si>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</si>
  <si>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</si>
  <si>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</si>
  <si>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</si>
  <si>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</si>
  <si>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</si>
  <si>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</si>
  <si>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AVReceivers&amp;Amplifiers</t>
  </si>
  <si>
    <t>B09LRZYBH1</t>
  </si>
  <si>
    <t>KRISONS Thunder Speaker, Multimedia Home Theatre, Floor Standing Speaker, LED Display with Bluetooth, FM, USB, Micro SD Card, AUX Connectivity</t>
  </si>
  <si>
    <t>TowerSpeakers</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</si>
  <si>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</si>
  <si>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</si>
  <si>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</si>
  <si>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</si>
  <si>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</si>
  <si>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</si>
  <si>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</si>
  <si>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</si>
  <si>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</si>
  <si>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</si>
  <si>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</si>
  <si>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</si>
  <si>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</si>
  <si>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</si>
  <si>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</si>
  <si>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  –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</si>
  <si>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</si>
  <si>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</si>
  <si>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</si>
  <si>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</si>
  <si>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</si>
  <si>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</si>
  <si>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</si>
  <si>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  Aramid fiber braided 1.2m cable with 4A Fast charging &amp; 480 MBPS data transmission, certified 10000+ bend lifespan, Metallic Grey</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</si>
  <si>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</si>
  <si>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</si>
  <si>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</si>
  <si>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</si>
  <si>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</si>
  <si>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</si>
  <si>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</si>
  <si>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</si>
  <si>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</si>
  <si>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</si>
  <si>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</si>
  <si>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</si>
  <si>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</si>
  <si>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</si>
  <si>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</si>
  <si>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</si>
  <si>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</si>
  <si>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</si>
  <si>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</si>
  <si>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</si>
  <si>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( 8K@60HZ、4K@120HZ、2K@240HZ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</si>
  <si>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</si>
  <si>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</si>
  <si>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</si>
  <si>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</si>
  <si>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</si>
  <si>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</si>
  <si>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 Suitable Sony Tv Remote Original Bravia for Smart Android Television Compatible for Any Model of LCD LED OLED UHD 4K Universal Sony Remote Control</t>
  </si>
  <si>
    <t>B09HN7LD5L</t>
  </si>
  <si>
    <t>PROLEGEND®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</si>
  <si>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</si>
  <si>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</si>
  <si>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</si>
  <si>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</si>
  <si>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</si>
  <si>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</si>
  <si>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</si>
  <si>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</si>
  <si>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</si>
  <si>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</si>
  <si>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</si>
  <si>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</si>
  <si>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</si>
  <si>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</si>
  <si>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</si>
  <si>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</si>
  <si>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</si>
  <si>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</si>
  <si>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</si>
  <si>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</si>
  <si>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</si>
  <si>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</si>
  <si>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</si>
  <si>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</si>
  <si>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</si>
  <si>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 8K Hdmi 2.1 Cable 48Gbps 9.80Ft/Ultra High Speed Hdmi Braided Cord For Roku Tv/Ps5/Hdtv/Blu-Ray Projector, Laptop, Television, Personal Computer, Xbox, Ps4, Ps5, Ps4 Pro (1 M, Grey)</t>
  </si>
  <si>
    <t>B097JVLW3L</t>
  </si>
  <si>
    <t>Irusu Play VR Plus Virtual Reality Headset with Headphones for Gaming (Black)</t>
  </si>
  <si>
    <t>3DGlasses</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</si>
  <si>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</si>
  <si>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</si>
  <si>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</si>
  <si>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</si>
  <si>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</si>
  <si>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</si>
  <si>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</si>
  <si>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</si>
  <si>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</si>
  <si>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 Protective Case Compatible with JIO Settop Box Remote Control,PU Leather Cover Holder (Before Placing Order,Please Compare The Dimensions of The Product with Your Remote)</t>
  </si>
  <si>
    <t>B09P8M18QM</t>
  </si>
  <si>
    <t>7SEVEN®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</si>
  <si>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</si>
  <si>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</si>
  <si>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</si>
  <si>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</si>
  <si>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</si>
  <si>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</si>
  <si>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</si>
  <si>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</si>
  <si>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</si>
  <si>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</si>
  <si>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</si>
  <si>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</si>
  <si>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</si>
  <si>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</si>
  <si>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</si>
  <si>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</si>
  <si>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</si>
  <si>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</si>
  <si>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</si>
  <si>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</si>
  <si>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</si>
  <si>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</si>
  <si>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</si>
  <si>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</si>
  <si>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</si>
  <si>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</si>
  <si>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</si>
  <si>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</si>
  <si>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</si>
  <si>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</si>
  <si>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SmartWatches</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</si>
  <si>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</si>
  <si>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</si>
  <si>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</si>
  <si>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 HD Display with 550 NITS &amp; 70% Color Gamut, 150+ Watch Faces, Multi-Sport Modes,HR,SpO2, IP68(Active Black)</t>
  </si>
  <si>
    <t>B08HV83HL3</t>
  </si>
  <si>
    <t>MI Power Bank 3i 20000mAh Lithium Polymer 18W Fast Power Delivery Charging | Input- Type C | Micro USB| Triple Output | Sandstone Black</t>
  </si>
  <si>
    <t>PowerBanks</t>
  </si>
  <si>
    <t>B0BBN4DZBD</t>
  </si>
  <si>
    <t>Redmi A1 (Light Blue, 2GB RAM, 32GB Storage) | Segment Best AI Dual Cam | 5000mAh Battery | Leather Texture Design | Android 12</t>
  </si>
  <si>
    <t>Smartphones</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</si>
  <si>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</si>
  <si>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</si>
  <si>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</si>
  <si>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</si>
  <si>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</si>
  <si>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</si>
  <si>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</si>
  <si>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</si>
  <si>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</si>
  <si>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 microSDXC™ UHS-I Card, 64GB, 140MB/s R, 10 Y Warranty, for Smartphones</t>
  </si>
  <si>
    <t>MicroSD</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</si>
  <si>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</si>
  <si>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</si>
  <si>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</si>
  <si>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</si>
  <si>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BasicMobiles</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</si>
  <si>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</si>
  <si>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</si>
  <si>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</si>
  <si>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</si>
  <si>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In-Ear</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</si>
  <si>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</si>
  <si>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</si>
  <si>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</si>
  <si>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</si>
  <si>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</si>
  <si>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</si>
  <si>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</si>
  <si>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</si>
  <si>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AutomobileChargers</t>
  </si>
  <si>
    <t>B07GPXXNNG</t>
  </si>
  <si>
    <t>boAt Bassheads 100 in Ear Wired Earphones with Mic(Taffy Pink)</t>
  </si>
  <si>
    <t>B0BDYVC5TD</t>
  </si>
  <si>
    <t>SanDisk Ultra® microSDXC™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</si>
  <si>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</si>
  <si>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</si>
  <si>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</si>
  <si>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</si>
  <si>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</si>
  <si>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</si>
  <si>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</si>
  <si>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</si>
  <si>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Cradles</t>
  </si>
  <si>
    <t>B08VFF6JQ8</t>
  </si>
  <si>
    <t>Samsung 25W USB Travel Adapter for Cellular Phones - White</t>
  </si>
  <si>
    <t>WallChargers</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</si>
  <si>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</si>
  <si>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</si>
  <si>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</si>
  <si>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</si>
  <si>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</si>
  <si>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</si>
  <si>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</si>
  <si>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</si>
  <si>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</si>
  <si>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</si>
  <si>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</si>
  <si>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</si>
  <si>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</si>
  <si>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</si>
  <si>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</si>
  <si>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</si>
  <si>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</si>
  <si>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</si>
  <si>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</si>
  <si>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</si>
  <si>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</si>
  <si>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</si>
  <si>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</si>
  <si>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</si>
  <si>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</si>
  <si>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</si>
  <si>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</si>
  <si>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OTGAdapters</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</si>
  <si>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</si>
  <si>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</si>
  <si>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</si>
  <si>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</si>
  <si>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</si>
  <si>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</si>
  <si>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</si>
  <si>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</si>
  <si>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</si>
  <si>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</si>
  <si>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</si>
  <si>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</si>
  <si>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</si>
  <si>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</si>
  <si>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</si>
  <si>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Tripods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</si>
  <si>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</si>
  <si>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</si>
  <si>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</si>
  <si>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</si>
  <si>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</si>
  <si>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</si>
  <si>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</si>
  <si>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</si>
  <si>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</si>
  <si>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</si>
  <si>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</si>
  <si>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</si>
  <si>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 HD Display with 550 NITS &amp; 70% Color Gamut, 150+ Watch Faces, Multi-Sport Modes, HR, SpO2, IP68(Mauve)</t>
  </si>
  <si>
    <t>B07WDKLDRX</t>
  </si>
  <si>
    <t>iQOO Neo 6 5G (Dark Nova, 8GB RAM, 128GB Storage) | Snapdragon® 870 5G | 80W FlashCharge</t>
  </si>
  <si>
    <t>B09MQSCJQ1</t>
  </si>
  <si>
    <t>boAt Xtend Smartwatch with Alexa Built-in, 1.69”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</si>
  <si>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</si>
  <si>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</si>
  <si>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SelfieSticks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</si>
  <si>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</si>
  <si>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</si>
  <si>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</si>
  <si>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</si>
  <si>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</si>
  <si>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</si>
  <si>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</si>
  <si>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</si>
  <si>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</si>
  <si>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</si>
  <si>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</si>
  <si>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</si>
  <si>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</si>
  <si>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</si>
  <si>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Stands</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</si>
  <si>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</si>
  <si>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</si>
  <si>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</si>
  <si>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</si>
  <si>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</si>
  <si>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</si>
  <si>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CableConnectionProtectors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</si>
  <si>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</si>
  <si>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</si>
  <si>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</si>
  <si>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</si>
  <si>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</si>
  <si>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</si>
  <si>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</si>
  <si>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</si>
  <si>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</si>
  <si>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</si>
  <si>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</si>
  <si>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</si>
  <si>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</si>
  <si>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</si>
  <si>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</si>
  <si>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</si>
  <si>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</si>
  <si>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</si>
  <si>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</si>
  <si>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</si>
  <si>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</si>
  <si>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</si>
  <si>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 HD Display, Multiple Watch Faces, Stress Monitor, Heart &amp; SpO2 Monitoring, 14 Sports Modes, Sleep Monitor, 5 ATM &amp; 7 Days Battery(Pitch Black)</t>
  </si>
  <si>
    <t>B0B5D39BCD</t>
  </si>
  <si>
    <t>boAt Wave Call Smart Watch, Smart Talk with Advanced Dedicated Bluetooth Calling Chip, 1.69”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</si>
  <si>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</si>
  <si>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</si>
  <si>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</si>
  <si>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</si>
  <si>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</si>
  <si>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Décor</t>
  </si>
  <si>
    <t>B09QS8V5N8</t>
  </si>
  <si>
    <t>Redmi Note 11 (Space Black, 4GB RAM, 64GB Storage)|90Hz FHD+ AMOLED Display | Qualcomm® Snapdragon™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</si>
  <si>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</si>
  <si>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</si>
  <si>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</si>
  <si>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</si>
  <si>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</si>
  <si>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</si>
  <si>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</si>
  <si>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 Rotational, Strong Suction Cup,Compatible with 4 to 6 Inch Devices, Wildshield and Dashboard Mobile Holder for Car, and Use</t>
  </si>
  <si>
    <t>B07DJLFMPS</t>
  </si>
  <si>
    <t>HP 32GB Class 10 MicroSD Memory Card (U1 TF Card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</si>
  <si>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</si>
  <si>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</si>
  <si>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</si>
  <si>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</si>
  <si>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</si>
  <si>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</si>
  <si>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</si>
  <si>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</si>
  <si>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</si>
  <si>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</si>
  <si>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</si>
  <si>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</si>
  <si>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</si>
  <si>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</si>
  <si>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</si>
  <si>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</si>
  <si>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</si>
  <si>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</si>
  <si>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</si>
  <si>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</si>
  <si>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</si>
  <si>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</si>
  <si>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</si>
  <si>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</si>
  <si>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</si>
  <si>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</si>
  <si>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ScreenProtectors</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</si>
  <si>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</si>
  <si>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</si>
  <si>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</si>
  <si>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</si>
  <si>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</si>
  <si>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</si>
  <si>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</si>
  <si>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</si>
  <si>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</si>
  <si>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</si>
  <si>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</si>
  <si>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</si>
  <si>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</si>
  <si>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</si>
  <si>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</si>
  <si>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</si>
  <si>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</si>
  <si>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</si>
  <si>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</si>
  <si>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</si>
  <si>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</si>
  <si>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</si>
  <si>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StylusPens</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</si>
  <si>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</si>
  <si>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</si>
  <si>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</si>
  <si>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</si>
  <si>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</si>
  <si>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</si>
  <si>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</si>
  <si>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</si>
  <si>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</si>
  <si>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</si>
  <si>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</si>
  <si>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</si>
  <si>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</si>
  <si>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</si>
  <si>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</si>
  <si>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</si>
  <si>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Bedstand&amp;DeskMounts</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</si>
  <si>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</si>
  <si>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</si>
  <si>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</si>
  <si>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</si>
  <si>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</si>
  <si>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</si>
  <si>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BasicCases</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</si>
  <si>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</si>
  <si>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</si>
  <si>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</si>
  <si>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</si>
  <si>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</si>
  <si>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</si>
  <si>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</si>
  <si>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</si>
  <si>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</si>
  <si>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</si>
  <si>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</si>
  <si>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</si>
  <si>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</si>
  <si>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</si>
  <si>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</si>
  <si>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</si>
  <si>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</si>
  <si>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</si>
  <si>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</si>
  <si>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</si>
  <si>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</si>
  <si>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</si>
  <si>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</si>
  <si>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</si>
  <si>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</si>
  <si>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</si>
  <si>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</si>
  <si>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</si>
  <si>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</si>
  <si>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</si>
  <si>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</si>
  <si>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</si>
  <si>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</si>
  <si>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</si>
  <si>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</si>
  <si>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</si>
  <si>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</si>
  <si>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</si>
  <si>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</si>
  <si>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</si>
  <si>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</si>
  <si>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</si>
  <si>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</si>
  <si>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</si>
  <si>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</si>
  <si>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</si>
  <si>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</si>
  <si>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 Snapdragon™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</si>
  <si>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</si>
  <si>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</si>
  <si>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</si>
  <si>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</si>
  <si>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</si>
  <si>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</si>
  <si>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</si>
  <si>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 microSDXC™ UHS-I Card, 256GB, 150MB/s R, 10 Y Warranty, for Smartphones</t>
  </si>
  <si>
    <t>B0B3RS9DNF</t>
  </si>
  <si>
    <t>B09QS9X16F</t>
  </si>
  <si>
    <t>Redmi Note 11 (Space Black, 6GB RAM, 64GB Storage) | 90Hz FHD+ AMOLED Display | Qualcomm® Snapdragon™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</si>
  <si>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</si>
  <si>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</si>
  <si>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</si>
  <si>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</si>
  <si>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</si>
  <si>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</si>
  <si>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</si>
  <si>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</si>
  <si>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</si>
  <si>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</si>
  <si>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</si>
  <si>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</si>
  <si>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</si>
  <si>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</si>
  <si>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</si>
  <si>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</si>
  <si>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</si>
  <si>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</si>
  <si>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</si>
  <si>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</si>
  <si>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</si>
  <si>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</si>
  <si>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</si>
  <si>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</si>
  <si>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</si>
  <si>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</si>
  <si>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</si>
  <si>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</si>
  <si>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</si>
  <si>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 Rotation Bicycle Phone Mount</t>
  </si>
  <si>
    <t>HandlebarMounts</t>
  </si>
  <si>
    <t>B096TWZRJC</t>
  </si>
  <si>
    <t>Sounce 360 Adjustable Mobile Phone Holder, Universal Phone Holder Clip Lazy Bracket Flexible Gooseneck Clamp Long Arms Mount for Mobile Tabletop Stand for Bedroom, Office, Bathroom, White</t>
  </si>
  <si>
    <t>B09GP6FBZT</t>
  </si>
  <si>
    <t>OpenTech®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</si>
  <si>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</si>
  <si>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</si>
  <si>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</si>
  <si>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</si>
  <si>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</si>
  <si>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</si>
  <si>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</si>
  <si>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</si>
  <si>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</si>
  <si>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</si>
  <si>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</si>
  <si>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</si>
  <si>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</si>
  <si>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</si>
  <si>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</si>
  <si>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</si>
  <si>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On-Ear</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</si>
  <si>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</si>
  <si>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</si>
  <si>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</si>
  <si>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</si>
  <si>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</si>
  <si>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</si>
  <si>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CameraPrivacyCovers</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</si>
  <si>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</si>
  <si>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</si>
  <si>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</si>
  <si>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</si>
  <si>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</si>
  <si>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</si>
  <si>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</si>
  <si>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</si>
  <si>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</si>
  <si>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</si>
  <si>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</si>
  <si>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</si>
  <si>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</si>
  <si>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</si>
  <si>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</si>
  <si>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</si>
  <si>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</si>
  <si>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</si>
  <si>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</si>
  <si>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</si>
  <si>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</si>
  <si>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</si>
  <si>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</si>
  <si>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</si>
  <si>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</si>
  <si>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</si>
  <si>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</si>
  <si>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</si>
  <si>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</si>
  <si>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</si>
  <si>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</si>
  <si>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</si>
  <si>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</si>
  <si>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PhoneCharms</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</si>
  <si>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</si>
  <si>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</si>
  <si>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</si>
  <si>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</si>
  <si>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</si>
  <si>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</si>
  <si>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</si>
  <si>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</si>
  <si>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</si>
  <si>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</si>
  <si>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</si>
  <si>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</si>
  <si>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</si>
  <si>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</si>
  <si>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</si>
  <si>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</si>
  <si>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</si>
  <si>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</si>
  <si>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</si>
  <si>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</si>
  <si>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</si>
  <si>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</si>
  <si>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</si>
  <si>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</si>
  <si>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</si>
  <si>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</si>
  <si>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</si>
  <si>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</si>
  <si>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</si>
  <si>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</si>
  <si>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</si>
  <si>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</si>
  <si>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</si>
  <si>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Shower&amp;WallMounts</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</si>
  <si>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</si>
  <si>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</si>
  <si>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</si>
  <si>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</si>
  <si>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</si>
  <si>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</si>
  <si>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</si>
  <si>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</si>
  <si>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</si>
  <si>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</si>
  <si>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</si>
  <si>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</si>
  <si>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</si>
  <si>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</si>
  <si>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</si>
  <si>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</si>
  <si>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PenDrives</t>
  </si>
  <si>
    <t>B01J0XWYKQ</t>
  </si>
  <si>
    <t>Logitech B170 Wireless Mouse, 2.4 GHz with USB Nano Receiver, Optical Tracking, 12-Months Battery Life, Ambidextrous, PC/Mac/Laptop - Black</t>
  </si>
  <si>
    <t>Mice</t>
  </si>
  <si>
    <t>B09CTRPSJR</t>
  </si>
  <si>
    <t>Storio Kids Toys LCD Writing Tablet 8.5Inch E-Note Pad Best Birthday Gift for Girls Boys, Multicolor (SC1667)</t>
  </si>
  <si>
    <t>GraphicTablets</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</si>
  <si>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</si>
  <si>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</si>
  <si>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</si>
  <si>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</si>
  <si>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Lapdesks</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</si>
  <si>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</si>
  <si>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</si>
  <si>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</si>
  <si>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</si>
  <si>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NotebookComputerStands</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</si>
  <si>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</si>
  <si>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</si>
  <si>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</si>
  <si>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</si>
  <si>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</si>
  <si>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</si>
  <si>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</si>
  <si>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</si>
  <si>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</si>
  <si>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</si>
  <si>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</si>
  <si>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</si>
  <si>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</si>
  <si>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</si>
  <si>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</si>
  <si>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</si>
  <si>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</si>
  <si>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 Black</t>
  </si>
  <si>
    <t>Keyboards</t>
  </si>
  <si>
    <t>B01HJI0FS2</t>
  </si>
  <si>
    <t>Dell MS116 1000Dpi USB Wired Optical Mouse, Led Tracking, Scrolling Wheel, Plug and Play.</t>
  </si>
  <si>
    <t>B076B8G5D8</t>
  </si>
  <si>
    <t>Boya ByM1 Auxiliary Omnidirectional Lavalier Condenser Microphone with 20ft Audio Cable (Black)</t>
  </si>
  <si>
    <t>MusicalInstruments</t>
  </si>
  <si>
    <t>Condenser</t>
  </si>
  <si>
    <t>B014SZO90Y</t>
  </si>
  <si>
    <t>Duracell Ultra Alkaline AA Battery, 8 Pcs</t>
  </si>
  <si>
    <t>DisposableBatteries</t>
  </si>
  <si>
    <t>B07KCMR8D6</t>
  </si>
  <si>
    <t>Classmate Octane Neon- Blue Gel Pens(Pack of 5)|Smooth Writing Pen|Attractive body colour for Boys &amp; Girls|Waterproof ink for smudge free writing|Preferred by Students for Exam|Study at home essential</t>
  </si>
  <si>
    <t>OfficeProducts</t>
  </si>
  <si>
    <t>GelInkRollerballPens</t>
  </si>
  <si>
    <t>B00N1U9AJS</t>
  </si>
  <si>
    <t>3M Scotch Double Sided Heavy Duty Tape(1m holds 4.5Kgs) for indoor hanging applications (Photo frames, Mirrors, Key Holders, Car Interiors, Extension Boards, Wall decoration, etc)(L: 3m, W: 24mm)</t>
  </si>
  <si>
    <t>Home&amp;Kitchen</t>
  </si>
  <si>
    <t>Tape</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</si>
  <si>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</si>
  <si>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</si>
  <si>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</si>
  <si>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</si>
  <si>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</si>
  <si>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</si>
  <si>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Keyboard&amp;MouseSets</t>
  </si>
  <si>
    <t>B08ZJDWTJ1</t>
  </si>
  <si>
    <t>Seagate Expansion 1TB External HDD - USB 3.0 for Windows and Mac with 3 yr Data Recovery Services, Portable Hard Drive (STKM1000400)</t>
  </si>
  <si>
    <t>ExternalHardDisks</t>
  </si>
  <si>
    <t>B08FTFXNNB</t>
  </si>
  <si>
    <t>HP w100 480P 30 FPS Digital Webcam with Built-in Mic, Plug and Play Setup, Wide-Angle View for Video Calling on Skype, Zoom, Microsoft Teams and Other Apps (Black)</t>
  </si>
  <si>
    <t>VideoCameras</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</si>
  <si>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</si>
  <si>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</si>
  <si>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</si>
  <si>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</si>
  <si>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</si>
  <si>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</si>
  <si>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Tabletop&amp;TravelTripods</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</si>
  <si>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</si>
  <si>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</si>
  <si>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</si>
  <si>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</si>
  <si>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</si>
  <si>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</si>
  <si>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</si>
  <si>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</si>
  <si>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Scientific</t>
  </si>
  <si>
    <t>B00KXULGJQ</t>
  </si>
  <si>
    <t>TP-Link AC750 Wifi Range Extender | Up to 750Mbps | Dual Band WiFi Extender, Repeater, Wifi Signal Booster, Access Point| Easy Set-Up | Extends Wifi to Smart Home &amp; Alexa Devices (RE200)</t>
  </si>
  <si>
    <t>Repeaters&amp;Extenders</t>
  </si>
  <si>
    <t>B08H9Z3XQW</t>
  </si>
  <si>
    <t>boAt Bassheads 242 in Ear Wired Earphones with Mic(Blue)</t>
  </si>
  <si>
    <t>B08LPJZSSW</t>
  </si>
  <si>
    <t>DIGITEK® (DTR 260 GT) Gorilla Tripod/Mini 33 cm (13 Inch) Tripod for Mobile Phone with Phone Mount &amp; Remote, Flexible Gorilla Stand for DSLR &amp; Action Cameras</t>
  </si>
  <si>
    <t>TripodLegs</t>
  </si>
  <si>
    <t>B08CYPB15D</t>
  </si>
  <si>
    <t>HP 805 Black Original Ink Cartridge</t>
  </si>
  <si>
    <t>InkjetInkCartridges</t>
  </si>
  <si>
    <t>B00MFPCY5C</t>
  </si>
  <si>
    <t>GIZGA essentials Universal Silicone Keyboard Protector Skin for 15.6-inches Laptop (5 x 6 x 3 inches)</t>
  </si>
  <si>
    <t>DustCovers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</si>
  <si>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</si>
  <si>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</si>
  <si>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</si>
  <si>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</si>
  <si>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</si>
  <si>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</si>
  <si>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</si>
  <si>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</si>
  <si>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</si>
  <si>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</si>
  <si>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</si>
  <si>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</si>
  <si>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GamingMice</t>
  </si>
  <si>
    <t>B00LXTFMRS</t>
  </si>
  <si>
    <t>PIDILITE Fevicryl Acrylic Colours Sunflower Kit (10 Colors x 15 ml) DIY Paint, Rich Pigment, Non-Craking Paint for Canvas, Wood, Leather, Earthenware, Metal, Diwali Gifts for Diwali</t>
  </si>
  <si>
    <t>Paints</t>
  </si>
  <si>
    <t>B0B9LDCX89</t>
  </si>
  <si>
    <t>STRIFF Mpad Mouse Mat 230X190X3mm Gaming Mouse Pad, Non-Slip Rubber Base, Waterproof Surface, Premium-Textured, Compatible with Laser and Optical Mice(Universe Black)</t>
  </si>
  <si>
    <t>MousePads</t>
  </si>
  <si>
    <t>B0765B3TH7</t>
  </si>
  <si>
    <t>Gizga Essentials Hard Drive Case Shell, 6.35cm/2.5-inch, Portable Storage Organizer Bag for Earphone USB Cable Power Bank Mobile Charger Digital Gadget Hard Disk, Water Resistance Material, Black</t>
  </si>
  <si>
    <t>HardDiskBags</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</si>
  <si>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</si>
  <si>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</si>
  <si>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</si>
  <si>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</si>
  <si>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</si>
  <si>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</si>
  <si>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</si>
  <si>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</si>
  <si>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Macro&amp;RinglightFlashes</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</si>
  <si>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</si>
  <si>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</si>
  <si>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</si>
  <si>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</si>
  <si>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NetworkingDevices</t>
  </si>
  <si>
    <t>B07GVR9TG7</t>
  </si>
  <si>
    <t>TP-Link Archer AC1200 Archer C6 Wi-Fi Speed Up to 867 Mbps/5 GHz + 400 Mbps/2.4 GHz, 5 Gigabit Ports, 4 External Antennas, MU-MIMO, Dual Band, WiFi Coverage with Access Point Mode, Black</t>
  </si>
  <si>
    <t>Routers</t>
  </si>
  <si>
    <t>B0856HY85J</t>
  </si>
  <si>
    <t>boAt Rockerz 550 Over Ear Bluetooth Headphones with Upto 20 Hours Playback, 50MM Drivers, Soft Padded Ear Cushions and Physical Noise Isolation, Without Mic (Black)</t>
  </si>
  <si>
    <t>Over-Ear</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</si>
  <si>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</si>
  <si>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</si>
  <si>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</si>
  <si>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</si>
  <si>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</si>
  <si>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</si>
  <si>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</si>
  <si>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</si>
  <si>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</si>
  <si>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</si>
  <si>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</si>
  <si>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</si>
  <si>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BluetoothSpeakers</t>
  </si>
  <si>
    <t>B00LVMTA2A</t>
  </si>
  <si>
    <t>Panasonic CR-2032/5BE Lithium Coin Battery - Pack of 5</t>
  </si>
  <si>
    <t>GeneralPurposeBatteries&amp;BatteryChargers</t>
  </si>
  <si>
    <t>B07TR5HSR9</t>
  </si>
  <si>
    <t>MemeHo®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</si>
  <si>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</si>
  <si>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</si>
  <si>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</si>
  <si>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9.4”x 7.9”,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</si>
  <si>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</si>
  <si>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</si>
  <si>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</si>
  <si>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</si>
  <si>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</si>
  <si>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</si>
  <si>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</si>
  <si>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</si>
  <si>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</si>
  <si>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</si>
  <si>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</si>
  <si>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</si>
  <si>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WireboundNotebooks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</si>
  <si>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</si>
  <si>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</si>
  <si>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</si>
  <si>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</si>
  <si>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RechargeableBatteries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</si>
  <si>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</si>
  <si>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</si>
  <si>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</si>
  <si>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</si>
  <si>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BluetoothAdapters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</si>
  <si>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</si>
  <si>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</si>
  <si>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</si>
  <si>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</si>
  <si>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USBtoUSBAdapters</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</si>
  <si>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</si>
  <si>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</si>
  <si>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</si>
  <si>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</si>
  <si>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</si>
  <si>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</si>
  <si>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CompleteTripodUnits</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</si>
  <si>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</si>
  <si>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</si>
  <si>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</si>
  <si>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</si>
  <si>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Notepads&amp;MemoBooks</t>
  </si>
  <si>
    <t>B00R1P3B4O</t>
  </si>
  <si>
    <t>Fujifilm Instax Mini Single Pack 10 Sheets Instant Film for Fuji Instant Cameras</t>
  </si>
  <si>
    <t>Film</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</si>
  <si>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</si>
  <si>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</si>
  <si>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</si>
  <si>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</si>
  <si>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</si>
  <si>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</si>
  <si>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</si>
  <si>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</si>
  <si>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</si>
  <si>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</si>
  <si>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</si>
  <si>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</si>
  <si>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</si>
  <si>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Lamps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</si>
  <si>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</si>
  <si>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</si>
  <si>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</si>
  <si>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</si>
  <si>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</si>
  <si>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</si>
  <si>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</si>
  <si>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</si>
  <si>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</si>
  <si>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</si>
  <si>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CleaningKits</t>
  </si>
  <si>
    <t>B01N6LU1VF</t>
  </si>
  <si>
    <t>SanDisk Ultra Dual 64 GB USB 3.0 OTG Pen Drive (Black)</t>
  </si>
  <si>
    <t>B07XLML2YS</t>
  </si>
  <si>
    <t>TP-Link Tapo 360° 2MP 1080p Full HD Pan/Tilt Home Security Wi-Fi Smart Camera| Alexa Enabled| 2-Way Audio| Night Vision| Motion Detection| Sound and Light Alarm| Indoor CCTV (Tapo C200) White</t>
  </si>
  <si>
    <t>DomeCameras</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</si>
  <si>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</si>
  <si>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</si>
  <si>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</si>
  <si>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</si>
  <si>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</si>
  <si>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</si>
  <si>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</si>
  <si>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</si>
  <si>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</si>
  <si>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</si>
  <si>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</si>
  <si>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</si>
  <si>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</si>
  <si>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</si>
  <si>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</si>
  <si>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</si>
  <si>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</si>
  <si>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</si>
  <si>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</si>
  <si>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</si>
  <si>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Gamepads</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</si>
  <si>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</si>
  <si>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</si>
  <si>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</si>
  <si>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</si>
  <si>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</si>
  <si>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</si>
  <si>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</si>
  <si>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</si>
  <si>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</si>
  <si>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</si>
  <si>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Basic</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</si>
  <si>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</si>
  <si>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</si>
  <si>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</si>
  <si>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</si>
  <si>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</si>
  <si>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</si>
  <si>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</si>
  <si>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</si>
  <si>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USBHubs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</si>
  <si>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</si>
  <si>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</si>
  <si>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</si>
  <si>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</si>
  <si>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</si>
  <si>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</si>
  <si>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</si>
  <si>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</si>
  <si>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PCMicrophones</t>
  </si>
  <si>
    <t>B0972BQ2RS</t>
  </si>
  <si>
    <t>Fire-Boltt India's No 1 Smartwatch Brand Ring Bluetooth Calling with SpO2 &amp; 1.7”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</si>
  <si>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</si>
  <si>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</si>
  <si>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</si>
  <si>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</si>
  <si>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</si>
  <si>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</si>
  <si>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</si>
  <si>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</si>
  <si>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OutdoorSpeakers</t>
  </si>
  <si>
    <t>B07Z1X6VFC</t>
  </si>
  <si>
    <t>AirCase Protective Laptop Bag Sleeve fits Upto 13.3" Laptop/ MacBook, Wrinkle Free, Padded, Waterproof Light Neoprene case Cover Pouch, for Men &amp; Women, Black- 6 Months Warranty</t>
  </si>
  <si>
    <t>LaptopSleeves&amp;Slipcases</t>
  </si>
  <si>
    <t>B07YL54NVJ</t>
  </si>
  <si>
    <t>Brand Conquer 6 in 1 with OTG, SD Card Reader, USB Type C, USB 3.0 and Micro USB, for Memory Card | Portable Card Reader | Compatible with TF, SD, Micro SD, SDHC, SDXC, MMC, RS-MMC, Micro SDXC</t>
  </si>
  <si>
    <t>ExternalMemoryCardReaders</t>
  </si>
  <si>
    <t>B0759QMF85</t>
  </si>
  <si>
    <t>TP-Link AC750 Dual Band Wireless Cable Router, 4 10/100 LAN + 10/100 WAN Ports, Support Guest Network and Parental Control, 750Mbps Speed Wi-Fi, 3 Antennas (Archer C20) Blue, 2.4 GHz</t>
  </si>
  <si>
    <t>B00LM4X0KU</t>
  </si>
  <si>
    <t>Parker Quink Ink Bottle, Blue</t>
  </si>
  <si>
    <t>BottledInk</t>
  </si>
  <si>
    <t>B08PFSZ7FH</t>
  </si>
  <si>
    <t>STRIFF Laptop Stand Adjustable Laptop Computer Stand Multi-Angle Stand Phone Stand Portable Foldable Laptop Riser Notebook Holder Stand Compatible for 9 to 15.6”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</si>
  <si>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</si>
  <si>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</si>
  <si>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</si>
  <si>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</si>
  <si>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</si>
  <si>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</si>
  <si>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CompositionNotebooks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</si>
  <si>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</si>
  <si>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</si>
  <si>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</si>
  <si>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</si>
  <si>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</si>
  <si>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</si>
  <si>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</si>
  <si>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</si>
  <si>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RetractableBallpointPens</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</si>
  <si>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</si>
  <si>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</si>
  <si>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</si>
  <si>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</si>
  <si>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EthernetCables</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</si>
  <si>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</si>
  <si>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</si>
  <si>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</si>
  <si>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</si>
  <si>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</si>
  <si>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</si>
  <si>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</si>
  <si>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</si>
  <si>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</si>
  <si>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</si>
  <si>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</si>
  <si>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</si>
  <si>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Memory</t>
  </si>
  <si>
    <t>B016XVRKZM</t>
  </si>
  <si>
    <t>APC Back-UPS BX600C-IN 600VA / 360W, 230V, UPS System, an Ideal Power Backup &amp; Protection for Home Office, Desktop PC &amp; Home Electronics</t>
  </si>
  <si>
    <t>UninterruptedPowerSupplies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</si>
  <si>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</si>
  <si>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</si>
  <si>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</si>
  <si>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</si>
  <si>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</si>
  <si>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 Type C Fast Charging (10 Min=100Mins), BoomX™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</si>
  <si>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</si>
  <si>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</si>
  <si>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</si>
  <si>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</si>
  <si>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</si>
  <si>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</si>
  <si>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</si>
  <si>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</si>
  <si>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</si>
  <si>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</si>
  <si>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</si>
  <si>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</si>
  <si>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Cases</t>
  </si>
  <si>
    <t>B08GYG6T12</t>
  </si>
  <si>
    <t>SanDisk Ultra SDHC UHS-I Card 32GB 120MB/s R for DSLR Cameras, for Full HD Recording, 10Y Warranty</t>
  </si>
  <si>
    <t>SecureDigitalCards</t>
  </si>
  <si>
    <t>B09BN2NPBD</t>
  </si>
  <si>
    <t>DIGITEK® (DRL-14C) Professional (31cm) Dual Temperature LED Ring Light with Tripod Stand &amp; Mini Tripod for YouTube, Photo-Shoot, Video Shoot, Live Stream, Makeup, Vlogging &amp; More</t>
  </si>
  <si>
    <t>SelfieLights</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</si>
  <si>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</si>
  <si>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</si>
  <si>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</si>
  <si>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</si>
  <si>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</si>
  <si>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</si>
  <si>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</si>
  <si>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</si>
  <si>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</si>
  <si>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</si>
  <si>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Webcams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</si>
  <si>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</si>
  <si>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</si>
  <si>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</si>
  <si>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</si>
  <si>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</si>
  <si>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</si>
  <si>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CoolingPads</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</si>
  <si>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</si>
  <si>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</si>
  <si>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</si>
  <si>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</si>
  <si>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</si>
  <si>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</si>
  <si>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</si>
  <si>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</si>
  <si>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LaptopAccessories</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</si>
  <si>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</si>
  <si>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</si>
  <si>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</si>
  <si>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</si>
  <si>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</si>
  <si>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</si>
  <si>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</si>
  <si>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Adapters&amp;Multi-Outlets</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</si>
  <si>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</si>
  <si>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</si>
  <si>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</si>
  <si>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</si>
  <si>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</si>
  <si>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</si>
  <si>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ColouredPaper</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</si>
  <si>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</si>
  <si>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</si>
  <si>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</si>
  <si>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</si>
  <si>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InternalSolidStateDrives</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</si>
  <si>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</si>
  <si>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</si>
  <si>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</si>
  <si>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</si>
  <si>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</si>
  <si>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</si>
  <si>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</si>
  <si>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</si>
  <si>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</si>
  <si>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 Black, for Windows and Mac, with 3 yr Data Recovery Services, and 4 Months Adobe CC Photography (STKY2000400)</t>
  </si>
  <si>
    <t>B07L3NDN24</t>
  </si>
  <si>
    <t>ZEBRONICS Zeb-Fame 5watts 2.0 Multi Media Speakers with AUX, USB and Volume Control (Black)</t>
  </si>
  <si>
    <t>MultimediaSpeakerSystems</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</si>
  <si>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</si>
  <si>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</si>
  <si>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</si>
  <si>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</si>
  <si>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</si>
  <si>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</si>
  <si>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</si>
  <si>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</si>
  <si>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</si>
  <si>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</si>
  <si>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</si>
  <si>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</si>
  <si>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</si>
  <si>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</si>
  <si>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</si>
  <si>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</si>
  <si>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</si>
  <si>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</si>
  <si>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</si>
  <si>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</si>
  <si>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DataCards&amp;Dongles</t>
  </si>
  <si>
    <t>B01IOZUHRS</t>
  </si>
  <si>
    <t>Gizga Essentials Laptop Power Cable Cord- 3 Pin Adapter Isi Certified(1 Meter/3.3 Feet)</t>
  </si>
  <si>
    <t>LaptopChargers&amp;PowerSupplies</t>
  </si>
  <si>
    <t>B00CEQEGPI</t>
  </si>
  <si>
    <t>Logitech MK270r USB Wireless Keyboard and Mouse Set for Windows, 2.4 GHz Wireless, Spill-resistant Design, 8 Multimedia &amp; Shortcut Keys, 2-Year Battery Life, PC/Laptop- Black</t>
  </si>
  <si>
    <t>B08B6XWQ1C</t>
  </si>
  <si>
    <t>DIGITEK®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</si>
  <si>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</si>
  <si>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</si>
  <si>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</si>
  <si>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</si>
  <si>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</si>
  <si>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</si>
  <si>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</si>
  <si>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</si>
  <si>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</si>
  <si>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</si>
  <si>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</si>
  <si>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</si>
  <si>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</si>
  <si>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</si>
  <si>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</si>
  <si>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</si>
  <si>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</si>
  <si>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</si>
  <si>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PCSpeakers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</si>
  <si>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</si>
  <si>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</si>
  <si>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</si>
  <si>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</si>
  <si>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</si>
  <si>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</si>
  <si>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BatteryChargers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</si>
  <si>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</si>
  <si>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</si>
  <si>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</si>
  <si>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</si>
  <si>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</si>
  <si>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</si>
  <si>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StickBallpointPens</t>
  </si>
  <si>
    <t>B07X2L5Z8C</t>
  </si>
  <si>
    <t>Logitech Pebble M350 Wireless Mouse with Bluetooth or USB - Silent, Slim Computer Mouse with Quiet Click for Laptop, Notebook, PC and Mac - Graphite</t>
  </si>
  <si>
    <t>B00VA7YYUO</t>
  </si>
  <si>
    <t>Apsara Platinum Pencils Value Pack - Pack of 20</t>
  </si>
  <si>
    <t>WoodenPencils</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</si>
  <si>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</si>
  <si>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</si>
  <si>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</si>
  <si>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</si>
  <si>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</si>
  <si>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</si>
  <si>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</si>
  <si>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 Tech Equipped Quad Mics, Beast™ Mode(Low Latency- 65ms) for Gaming, 2x6mm Dual Drivers, 30H Playtime, IPX5, IWP™,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</si>
  <si>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</si>
  <si>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</si>
  <si>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</si>
  <si>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</si>
  <si>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</si>
  <si>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</si>
  <si>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</si>
  <si>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</si>
  <si>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InternalHardDrives</t>
  </si>
  <si>
    <t>B09X7DY7Q4</t>
  </si>
  <si>
    <t>SanDisk Extreme SD UHS I 64GB Card for 4K Video for DSLR and Mirrorless Cameras 170MB/s Read &amp; 80MB/s Write</t>
  </si>
  <si>
    <t>B09YV575RK</t>
  </si>
  <si>
    <t>Fire-Boltt Ring Pro Bluetooth Calling, 1.75”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</si>
  <si>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</si>
  <si>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</si>
  <si>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</si>
  <si>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</si>
  <si>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</si>
  <si>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</si>
  <si>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</si>
  <si>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</si>
  <si>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</si>
  <si>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</si>
  <si>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</si>
  <si>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</si>
  <si>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</si>
  <si>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</si>
  <si>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Printers</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</si>
  <si>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</si>
  <si>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</si>
  <si>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</si>
  <si>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</si>
  <si>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</si>
  <si>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</si>
  <si>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</si>
  <si>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</si>
  <si>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</si>
  <si>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</si>
  <si>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</si>
  <si>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</si>
  <si>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</si>
  <si>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</si>
  <si>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</si>
  <si>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</si>
  <si>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</si>
  <si>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</si>
  <si>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</si>
  <si>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</si>
  <si>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</si>
  <si>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</si>
  <si>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</si>
  <si>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</si>
  <si>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</si>
  <si>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</si>
  <si>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</si>
  <si>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</si>
  <si>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</si>
  <si>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</si>
  <si>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</si>
  <si>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</si>
  <si>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</si>
  <si>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</si>
  <si>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</si>
  <si>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</si>
  <si>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Pens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</si>
  <si>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</si>
  <si>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</si>
  <si>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</si>
  <si>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</si>
  <si>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</si>
  <si>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</si>
  <si>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</si>
  <si>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</si>
  <si>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SATACables</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</si>
  <si>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</si>
  <si>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</si>
  <si>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</si>
  <si>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</si>
  <si>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</si>
  <si>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</si>
  <si>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</si>
  <si>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</si>
  <si>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</si>
  <si>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</si>
  <si>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</si>
  <si>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</si>
  <si>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PCHeadsets</t>
  </si>
  <si>
    <t>B09BVCVTBC</t>
  </si>
  <si>
    <t>Redragon K617 Fizz 60% Wired RGB Gaming Keyboard, 61 Keys Compact Mechanical Keyboard w/White and Grey Color Keycaps, Linear Red Switch, Pro Driver/Software Supported</t>
  </si>
  <si>
    <t>GamingKeyboards</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</si>
  <si>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</si>
  <si>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</si>
  <si>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</si>
  <si>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</si>
  <si>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</si>
  <si>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</si>
  <si>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SoundbarSpeakers</t>
  </si>
  <si>
    <t>B08MTLLSL8</t>
  </si>
  <si>
    <t>boAt Bassheads 102 Wired in Ear Earphones with Mic (Mint Green)</t>
  </si>
  <si>
    <t>B08Y57TPDM</t>
  </si>
  <si>
    <t>Duracell CR2016 3V Lithium Coin Battery, 5 pcs, 2016 Coin Button Cell Battery, DL2016</t>
  </si>
  <si>
    <t>B09CYTJV3N</t>
  </si>
  <si>
    <t>MI 360°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</si>
  <si>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</si>
  <si>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</si>
  <si>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</si>
  <si>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</si>
  <si>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</si>
  <si>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</si>
  <si>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</si>
  <si>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</si>
  <si>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</si>
  <si>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</si>
  <si>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Earpads</t>
  </si>
  <si>
    <t>B01EJ5MM5M</t>
  </si>
  <si>
    <t>Canon PIXMA MG2577s All-in-One Inkjet Colour Printer with 1 Additional Colour Cartridge</t>
  </si>
  <si>
    <t>InkjetPrinters</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</si>
  <si>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</si>
  <si>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</si>
  <si>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</si>
  <si>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</si>
  <si>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</si>
  <si>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</si>
  <si>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</si>
  <si>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ColouringPens&amp;Markers</t>
  </si>
  <si>
    <t>B08FGNPQ9X</t>
  </si>
  <si>
    <t>Zinq UPS for Router, Mini UPS for 12V WiFi Router Broadband Modem with Upto 4 Hours Power Backup, Upto 2Amp, Works with Existing Adapter, Also Works with Set-top Box, Smart Camera, CCTV (Black)</t>
  </si>
  <si>
    <t>B07NTKGW45</t>
  </si>
  <si>
    <t>SaleOn™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</si>
  <si>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</si>
  <si>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</si>
  <si>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</si>
  <si>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</si>
  <si>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</si>
  <si>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</si>
  <si>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</si>
  <si>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</si>
  <si>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Headsets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</si>
  <si>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</si>
  <si>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</si>
  <si>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</si>
  <si>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</si>
  <si>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</si>
  <si>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</si>
  <si>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ExternalSolidStateDrives</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</si>
  <si>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</si>
  <si>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</si>
  <si>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</si>
  <si>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</si>
  <si>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PowerLANAdapters</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</si>
  <si>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</si>
  <si>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</si>
  <si>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</si>
  <si>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</si>
  <si>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</si>
  <si>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</si>
  <si>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InkjetInkRefills&amp;Kits</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</si>
  <si>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</si>
  <si>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</si>
  <si>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</si>
  <si>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</si>
  <si>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</si>
  <si>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</si>
  <si>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</si>
  <si>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</si>
  <si>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</si>
  <si>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</si>
  <si>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</si>
  <si>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</si>
  <si>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Notebooks,WritingPads&amp;Diaries</t>
  </si>
  <si>
    <t>B088GXTJM3</t>
  </si>
  <si>
    <t>DIGITEK® (DLS-9FT) Lightweight &amp; Portable Aluminum Alloy Light Stand for Ring Light, Reflector, Flash Units, Diffuser, Portrait, Softbox, Studio Lighting &amp; More Ideal for Outdoor &amp; Indoor Shoots</t>
  </si>
  <si>
    <t>BackgroundSupports</t>
  </si>
  <si>
    <t>B099S26HWG</t>
  </si>
  <si>
    <t>Classmate Pulse 1 Subject Notebook - 240mm x 180mm , Soft Cover, 180 Pages, Single Line, Pack of 4</t>
  </si>
  <si>
    <t>B08461VC1Z</t>
  </si>
  <si>
    <t>Scarters Mouse Pad, Desk Mat Extended for Work from Home/Office/Gaming | Vegan PU Leather | Anti-Skid, Anti-Slip, Reversible Splash-Proof – Deskspread ~ Navy Blue &amp; Yellow</t>
  </si>
  <si>
    <t>B00K32PEW4</t>
  </si>
  <si>
    <t>Casio MJ-120D 150 Steps Check and Correct Desktop Calculator with Tax Keys, Black</t>
  </si>
  <si>
    <t>Financial&amp;Business</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</si>
  <si>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</si>
  <si>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</si>
  <si>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</si>
  <si>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</si>
  <si>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</si>
  <si>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</si>
  <si>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</si>
  <si>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</si>
  <si>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</si>
  <si>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</si>
  <si>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</si>
  <si>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</si>
  <si>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</si>
  <si>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</si>
  <si>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</si>
  <si>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</si>
  <si>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</si>
  <si>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</si>
  <si>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</si>
  <si>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</si>
  <si>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</si>
  <si>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</si>
  <si>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</si>
  <si>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</si>
  <si>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</si>
  <si>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</si>
  <si>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SurgeProtectors</t>
  </si>
  <si>
    <t>B086PXQ2R4</t>
  </si>
  <si>
    <t>Classmate Long Book - Unruled, 160 Pages, 314 mm x 194 mm - Pack Of 3</t>
  </si>
  <si>
    <t>B07L1N3TJX</t>
  </si>
  <si>
    <t>Artis AR-45W-MG2 45 Watts MG2 Laptop Adapter/Charger Compatible with MB Air 13” &amp; MB Air 11” (14.5 V, 3.1 A) Connector: MG2 (T Tip Connector)</t>
  </si>
  <si>
    <t>B07YFWVRCM</t>
  </si>
  <si>
    <t>Imou 360°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</si>
  <si>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</si>
  <si>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</si>
  <si>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</si>
  <si>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</si>
  <si>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</si>
  <si>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</si>
  <si>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</si>
  <si>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</si>
  <si>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</si>
  <si>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</si>
  <si>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</si>
  <si>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</si>
  <si>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</si>
  <si>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</si>
  <si>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</si>
  <si>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CordManagement</t>
  </si>
  <si>
    <t>B00LY12TH6</t>
  </si>
  <si>
    <t>Camel Oil Pastel with Reusable Plastic Box - 50 Shades</t>
  </si>
  <si>
    <t>PaintingMaterials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</si>
  <si>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</si>
  <si>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</si>
  <si>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</si>
  <si>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</si>
  <si>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TonerCartridges</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</si>
  <si>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</si>
  <si>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</si>
  <si>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</si>
  <si>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</si>
  <si>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</si>
  <si>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</si>
  <si>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</si>
  <si>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</si>
  <si>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LiquidInkRollerballPens</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</si>
  <si>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</si>
  <si>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</si>
  <si>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</si>
  <si>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</si>
  <si>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</si>
  <si>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</si>
  <si>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</si>
  <si>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</si>
  <si>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</si>
  <si>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</si>
  <si>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</si>
  <si>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</si>
  <si>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</si>
  <si>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</si>
  <si>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</si>
  <si>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</si>
  <si>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</si>
  <si>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</si>
  <si>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</si>
  <si>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</si>
  <si>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</si>
  <si>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</si>
  <si>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FountainPens</t>
  </si>
  <si>
    <t>B07W14CHV8</t>
  </si>
  <si>
    <t>CARECASE® Optical Bay 2nd Hard Drive Caddy, 9.5 mm CD/DVD Drive Slot for SSD and HDD</t>
  </si>
  <si>
    <t>Caddies</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</si>
  <si>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</si>
  <si>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</si>
  <si>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</si>
  <si>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</si>
  <si>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</si>
  <si>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</si>
  <si>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</si>
  <si>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</si>
  <si>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</si>
  <si>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</si>
  <si>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</si>
  <si>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</si>
  <si>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TraditionalLaptops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</si>
  <si>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</si>
  <si>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</si>
  <si>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</si>
  <si>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</si>
  <si>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</si>
  <si>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</si>
  <si>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</si>
  <si>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</si>
  <si>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</si>
  <si>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</si>
  <si>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ElectricKettles</t>
  </si>
  <si>
    <t>B00H47GVGY</t>
  </si>
  <si>
    <t>USHA Quartz Room Heater with Overheating Protection (3002, Ivory, 800 Watts)</t>
  </si>
  <si>
    <t>ElectricHeaters</t>
  </si>
  <si>
    <t>B07VX71FZP</t>
  </si>
  <si>
    <t>Amazon Brand - Solimo 2000/1000 Watts Room Heater with Adjustable Thermostat (ISI certified, White colour, Ideal for small to medium room/area)</t>
  </si>
  <si>
    <t>FanHeaters</t>
  </si>
  <si>
    <t>B07NCKMXVZ</t>
  </si>
  <si>
    <t>StyleHouse Lint Remover for Woolen Clothes, Electric Lint Remover, Best Lint Shaver for Clothes</t>
  </si>
  <si>
    <t>LintShavers</t>
  </si>
  <si>
    <t>B0B61DSF17</t>
  </si>
  <si>
    <t>beatXP Kitchen Scale Multipurpose Portable Electronic Digital Weighing Scale | Weight Machine With Back light LCD Display | White |10 kg | 2 Year Warranty |</t>
  </si>
  <si>
    <t>DigitalKitchenScales</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</si>
  <si>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</si>
  <si>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</si>
  <si>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</si>
  <si>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</si>
  <si>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Choppers</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</si>
  <si>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</si>
  <si>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</si>
  <si>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</si>
  <si>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</si>
  <si>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</si>
  <si>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</si>
  <si>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</si>
  <si>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</si>
  <si>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InductionCooktop</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</si>
  <si>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</si>
  <si>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</si>
  <si>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</si>
  <si>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</si>
  <si>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</si>
  <si>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</si>
  <si>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</si>
  <si>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</si>
  <si>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HandBlenders</t>
  </si>
  <si>
    <t>B01C8P29N0</t>
  </si>
  <si>
    <t>Bajaj DX-6 1000W Dry Iron with Advance Soleplate and Anti-bacterial German Coating Technology, White</t>
  </si>
  <si>
    <t>DryIrons</t>
  </si>
  <si>
    <t>B08KDBLMQP</t>
  </si>
  <si>
    <t>Croma 500W Mixer Grinder with 3 Stainless Steel Leak-proof Jars, 3 speed &amp; Pulse function, 2 years warranty (CRAK4184, White &amp; Purple)</t>
  </si>
  <si>
    <t>MixerGrinders</t>
  </si>
  <si>
    <t>B078JDNZJ8</t>
  </si>
  <si>
    <t>Havells Instanio 3-Litre Instant Geyser (White/Blue)</t>
  </si>
  <si>
    <t>InstantWaterHeaters</t>
  </si>
  <si>
    <t>B01M5F614J</t>
  </si>
  <si>
    <t>Morphy Richards OFR Room Heater, 09 Fin 2000 Watts Oil Filled Room Heater , ISI Approved (OFR 9 Grey)</t>
  </si>
  <si>
    <t>RoomHeaters</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</si>
  <si>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</si>
  <si>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</si>
  <si>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</si>
  <si>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</si>
  <si>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</si>
  <si>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</si>
  <si>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Kettle&amp;ToasterSets</t>
  </si>
  <si>
    <t>B097R45BH8</t>
  </si>
  <si>
    <t>Bajaj New Shakti Neo 15L Vertical Storage Water Heater (Geyser 15 litres) 4 Star BEE Rated Heater For Water Heating with Titanium Armour, Swirl Flow Technology, Glasslined Tank (White), 1 Yr Warranty</t>
  </si>
  <si>
    <t>StorageWaterHeaters</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</si>
  <si>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</si>
  <si>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</si>
  <si>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</si>
  <si>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</si>
  <si>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</si>
  <si>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</si>
  <si>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</si>
  <si>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</si>
  <si>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</si>
  <si>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</si>
  <si>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</si>
  <si>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</si>
  <si>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</si>
  <si>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</si>
  <si>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ImmersionRods</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</si>
  <si>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</si>
  <si>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</si>
  <si>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</si>
  <si>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</si>
  <si>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</si>
  <si>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 High Speed Air Circulation Technology 1200 W with Non-Stick 4.2 L Basket - Green</t>
  </si>
  <si>
    <t>AirFryers</t>
  </si>
  <si>
    <t>B0814P4L98</t>
  </si>
  <si>
    <t>PrettyKrafts Laundry Basket for clothes with Lid &amp; Handles, Toys Organiser, 75 Ltr Black &amp; Grey</t>
  </si>
  <si>
    <t>LaundryBaskets</t>
  </si>
  <si>
    <t>B008QTK47Q</t>
  </si>
  <si>
    <t>Philips GC1905 1440-Watt Steam Iron with Spray (Blue)</t>
  </si>
  <si>
    <t>SteamIrons</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</si>
  <si>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</si>
  <si>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</si>
  <si>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</si>
  <si>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</si>
  <si>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</si>
  <si>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</si>
  <si>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</si>
  <si>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</si>
  <si>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JuicerMixerGrinders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</si>
  <si>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</si>
  <si>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</si>
  <si>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</si>
  <si>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</si>
  <si>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</si>
  <si>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</si>
  <si>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HandheldVacuums</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</si>
  <si>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</si>
  <si>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</si>
  <si>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</si>
  <si>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</si>
  <si>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</si>
  <si>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</si>
  <si>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</si>
  <si>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</si>
  <si>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</si>
  <si>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</si>
  <si>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</si>
  <si>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</si>
  <si>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EggBoilers</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</si>
  <si>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</si>
  <si>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</si>
  <si>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</si>
  <si>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</si>
  <si>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</si>
  <si>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</si>
  <si>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SandwichMakers</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</si>
  <si>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</si>
  <si>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</si>
  <si>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</si>
  <si>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</si>
  <si>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</si>
  <si>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</si>
  <si>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</si>
  <si>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</si>
  <si>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</si>
  <si>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</si>
  <si>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</si>
  <si>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</si>
  <si>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</si>
  <si>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</si>
  <si>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</si>
  <si>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</si>
  <si>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</si>
  <si>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</si>
  <si>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</si>
  <si>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</si>
  <si>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</si>
  <si>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</si>
  <si>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</si>
  <si>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</si>
  <si>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</si>
  <si>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</si>
  <si>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MiniFoodProcessors&amp;Choppers</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</si>
  <si>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</si>
  <si>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</si>
  <si>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</si>
  <si>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</si>
  <si>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</si>
  <si>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</si>
  <si>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</si>
  <si>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</si>
  <si>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</si>
  <si>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 Chef-Mate KS 40</t>
  </si>
  <si>
    <t>DigitalScales</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</si>
  <si>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</si>
  <si>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</si>
  <si>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</si>
  <si>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</si>
  <si>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</si>
  <si>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</si>
  <si>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</si>
  <si>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</si>
  <si>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VacuumSealers</t>
  </si>
  <si>
    <t>B01M0505SJ</t>
  </si>
  <si>
    <t>Orient Electric Apex-FX 1200mm Ultra High Speed 400 RPM Ceiling Fan (Brown)</t>
  </si>
  <si>
    <t>CeilingFans</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</si>
  <si>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</si>
  <si>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</si>
  <si>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</si>
  <si>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</si>
  <si>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</si>
  <si>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</si>
  <si>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CanisterVacuums</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</si>
  <si>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</si>
  <si>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</si>
  <si>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</si>
  <si>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</si>
  <si>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</si>
  <si>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</si>
  <si>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</si>
  <si>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</si>
  <si>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</si>
  <si>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</si>
  <si>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</si>
  <si>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</si>
  <si>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PressureWashers,Steam&amp;WindowCleaners</t>
  </si>
  <si>
    <t>B009P2LK80</t>
  </si>
  <si>
    <t>Bajaj Deluxe 2000 Watts Halogen Room Heater (Steel, ISI Approved), Multicolor</t>
  </si>
  <si>
    <t>HalogenHeaters</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</si>
  <si>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</si>
  <si>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</si>
  <si>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</si>
  <si>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</si>
  <si>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</si>
  <si>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</si>
  <si>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</si>
  <si>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</si>
  <si>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</si>
  <si>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</si>
  <si>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</si>
  <si>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</si>
  <si>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Pop-upToasters</t>
  </si>
  <si>
    <t>B08MVSGXMY</t>
  </si>
  <si>
    <t>Crompton Insta Comfy 800 Watt Room Heater with 2 Heat Settings(Grey Blue)</t>
  </si>
  <si>
    <t>B00H0B29DI</t>
  </si>
  <si>
    <t>USHA Heat Convector 812 T 2000-Watt with Instant Heating Feature (Black)</t>
  </si>
  <si>
    <t>HeatConvectors</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</si>
  <si>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</si>
  <si>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</si>
  <si>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</si>
  <si>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</si>
  <si>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</si>
  <si>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</si>
  <si>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</si>
  <si>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</si>
  <si>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ElectricGrinders</t>
  </si>
  <si>
    <t>B09CGLY5CX</t>
  </si>
  <si>
    <t>Crompton Insta Comfort Heater 2000 Watts Heat Convector with Adjustable Thermostats, Hybrid Cyan, Standard (‎ACGRH-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</si>
  <si>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</si>
  <si>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</si>
  <si>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</si>
  <si>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</si>
  <si>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</si>
  <si>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</si>
  <si>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</si>
  <si>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</si>
  <si>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</si>
  <si>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</si>
  <si>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</si>
  <si>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</si>
  <si>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ExhaustFans</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</si>
  <si>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</si>
  <si>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</si>
  <si>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</si>
  <si>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</si>
  <si>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DripCoffeeMachines</t>
  </si>
  <si>
    <t>B00SH18114</t>
  </si>
  <si>
    <t>Ikea 903.391.72 Polypropylene Plastic Solid Bevara Sealing Clip (Multicolour) - 30 Pack, Adjustable</t>
  </si>
  <si>
    <t>B00E9G8KOY</t>
  </si>
  <si>
    <t>HUL Pureit Germkill kit for Classic 23 L water purifier - 1500 L Capacity</t>
  </si>
  <si>
    <t>WaterPurifierAccessories</t>
  </si>
  <si>
    <t>B00H3H03Q4</t>
  </si>
  <si>
    <t>HUL Pureit Germkill kit for Classic 23 L water purifier - 3000 L Capacity</t>
  </si>
  <si>
    <t>WaterCartridges</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</si>
  <si>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</si>
  <si>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</si>
  <si>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</si>
  <si>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</si>
  <si>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</si>
  <si>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</si>
  <si>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</si>
  <si>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</si>
  <si>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</si>
  <si>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</si>
  <si>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Rice&amp;PastaCookers</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</si>
  <si>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</si>
  <si>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</si>
  <si>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</si>
  <si>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</si>
  <si>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</si>
  <si>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</si>
  <si>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</si>
  <si>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</si>
  <si>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</si>
  <si>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</si>
  <si>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</si>
  <si>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</si>
  <si>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</si>
  <si>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</si>
  <si>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</si>
  <si>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</si>
  <si>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</si>
  <si>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</si>
  <si>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</si>
  <si>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</si>
  <si>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</si>
  <si>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</si>
  <si>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</si>
  <si>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</si>
  <si>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</si>
  <si>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</si>
  <si>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</si>
  <si>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</si>
  <si>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</si>
  <si>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</si>
  <si>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</si>
  <si>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</si>
  <si>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</si>
  <si>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</si>
  <si>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</si>
  <si>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</si>
  <si>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</si>
  <si>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</si>
  <si>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</si>
  <si>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</si>
  <si>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</si>
  <si>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</si>
  <si>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</si>
  <si>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</si>
  <si>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</si>
  <si>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</si>
  <si>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</si>
  <si>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AirPurifiers&amp;Ionizers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</si>
  <si>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</si>
  <si>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</si>
  <si>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</si>
  <si>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</si>
  <si>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Wet-DryVacuums</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</si>
  <si>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</si>
  <si>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</si>
  <si>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</si>
  <si>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</si>
  <si>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</si>
  <si>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</si>
  <si>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</si>
  <si>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</si>
  <si>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</si>
  <si>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</si>
  <si>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</si>
  <si>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</si>
  <si>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</si>
  <si>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</si>
  <si>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</si>
  <si>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</si>
  <si>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</si>
  <si>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</si>
  <si>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</si>
  <si>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</si>
  <si>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</si>
  <si>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</si>
  <si>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</si>
  <si>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</si>
  <si>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</si>
  <si>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</si>
  <si>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</si>
  <si>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</si>
  <si>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HEPAAirPurifiers</t>
  </si>
  <si>
    <t>B07FXLC2G2</t>
  </si>
  <si>
    <t>Tata Swach Bulb 6000-Litre Cartridge, 1 Piece, White, Hollow Fiber Membrane</t>
  </si>
  <si>
    <t>WaterFilters&amp;Purifiers</t>
  </si>
  <si>
    <t>B01LYU3BZF</t>
  </si>
  <si>
    <t>Havells Ambrose 1200mm Ceiling Fan (Gold Mist Wood)</t>
  </si>
  <si>
    <t>B083RC4WFJ</t>
  </si>
  <si>
    <t>PrettyKrafts Laundry Bag / Basket for Dirty Clothes, Folding Round Laundry Bag,Set of 2, Black Wave</t>
  </si>
  <si>
    <t>LaundryBags</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</si>
  <si>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</si>
  <si>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</si>
  <si>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</si>
  <si>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</si>
  <si>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</si>
  <si>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</si>
  <si>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</si>
  <si>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</si>
  <si>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</si>
  <si>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</si>
  <si>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</si>
  <si>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</si>
  <si>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</si>
  <si>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</si>
  <si>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</si>
  <si>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</si>
  <si>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</si>
  <si>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</si>
  <si>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</si>
  <si>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</si>
  <si>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</si>
  <si>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</si>
  <si>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</si>
  <si>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</si>
  <si>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</si>
  <si>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</si>
  <si>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</si>
  <si>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</si>
  <si>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</si>
  <si>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 - Makes life easy Mini Sewing Machine with Table Set | Tailoring Machine | Hand Sewing Machine with extension table, foot pedal, adapter</t>
  </si>
  <si>
    <t>Sewing&amp;EmbroideryMachines</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</si>
  <si>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</si>
  <si>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</si>
  <si>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</si>
  <si>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</si>
  <si>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</si>
  <si>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</si>
  <si>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</si>
  <si>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</si>
  <si>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</si>
  <si>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</si>
  <si>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</si>
  <si>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</si>
  <si>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SprayBottles</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</si>
  <si>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</si>
  <si>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</si>
  <si>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</si>
  <si>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</si>
  <si>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</si>
  <si>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</si>
  <si>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HandMixers</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</si>
  <si>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</si>
  <si>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</si>
  <si>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</si>
  <si>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</si>
  <si>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</si>
  <si>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</si>
  <si>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</si>
  <si>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</si>
  <si>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</si>
  <si>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</si>
  <si>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WetGrinders</t>
  </si>
  <si>
    <t>B07N2MGB3G</t>
  </si>
  <si>
    <t>AGARO Marvel 9 Liters Oven Toaster Griller, Cake Baking OTG (Black)</t>
  </si>
  <si>
    <t>OvenToasterGrills</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</si>
  <si>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</si>
  <si>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</si>
  <si>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</si>
  <si>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</si>
  <si>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</si>
  <si>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</si>
  <si>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</si>
  <si>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</si>
  <si>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</si>
  <si>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</si>
  <si>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</si>
  <si>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</si>
  <si>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</si>
  <si>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</si>
  <si>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</si>
  <si>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</si>
  <si>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</si>
  <si>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</si>
  <si>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</si>
  <si>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</si>
  <si>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</si>
  <si>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</si>
  <si>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</si>
  <si>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</si>
  <si>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</si>
  <si>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</si>
  <si>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</si>
  <si>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</si>
  <si>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</si>
  <si>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</si>
  <si>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Juicers</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</si>
  <si>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</si>
  <si>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</si>
  <si>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</si>
  <si>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</si>
  <si>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</si>
  <si>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</si>
  <si>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SmallKitchenAppliances</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</si>
  <si>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</si>
  <si>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</si>
  <si>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</si>
  <si>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</si>
  <si>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</si>
  <si>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</si>
  <si>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</si>
  <si>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</si>
  <si>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</si>
  <si>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</si>
  <si>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</si>
  <si>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</si>
  <si>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</si>
  <si>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</si>
  <si>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</si>
  <si>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</si>
  <si>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</si>
  <si>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</si>
  <si>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</si>
  <si>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</si>
  <si>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</si>
  <si>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</si>
  <si>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</si>
  <si>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</si>
  <si>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</si>
  <si>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</si>
  <si>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</si>
  <si>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</si>
  <si>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</si>
  <si>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</si>
  <si>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</si>
  <si>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</si>
  <si>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</si>
  <si>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</si>
  <si>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</si>
  <si>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</si>
  <si>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</si>
  <si>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</si>
  <si>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</si>
  <si>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</si>
  <si>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</si>
  <si>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</si>
  <si>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</si>
  <si>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</si>
  <si>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</si>
  <si>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</si>
  <si>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</si>
  <si>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DigitalBathroomScales</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</si>
  <si>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</si>
  <si>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</si>
  <si>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</si>
  <si>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</si>
  <si>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</si>
  <si>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</si>
  <si>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</si>
  <si>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</si>
  <si>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</si>
  <si>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</si>
  <si>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</si>
  <si>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</si>
  <si>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</si>
  <si>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</si>
  <si>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</si>
  <si>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-180ᶿ&amp;105ᶿ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</si>
  <si>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</si>
  <si>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</si>
  <si>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</si>
  <si>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</si>
  <si>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</si>
  <si>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</si>
  <si>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</si>
  <si>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</si>
  <si>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</si>
  <si>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</si>
  <si>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EspressoMachines</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</si>
  <si>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</si>
  <si>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</si>
  <si>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</si>
  <si>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</si>
  <si>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</si>
  <si>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</si>
  <si>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TableFans</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</si>
  <si>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</si>
  <si>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</si>
  <si>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</si>
  <si>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</si>
  <si>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</si>
  <si>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</si>
  <si>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</si>
  <si>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</si>
  <si>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</si>
  <si>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</si>
  <si>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</si>
  <si>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</si>
  <si>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</si>
  <si>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</si>
  <si>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MilkFrothers</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</si>
  <si>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</si>
  <si>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</si>
  <si>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</si>
  <si>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</si>
  <si>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</si>
  <si>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</si>
  <si>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</si>
  <si>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</si>
  <si>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Humidifiers</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</si>
  <si>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</si>
  <si>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</si>
  <si>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</si>
  <si>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</si>
  <si>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</si>
  <si>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</si>
  <si>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</si>
  <si>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</si>
  <si>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</si>
  <si>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</si>
  <si>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</si>
  <si>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</si>
  <si>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</si>
  <si>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</si>
  <si>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</si>
  <si>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</si>
  <si>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</si>
  <si>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</si>
  <si>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</si>
  <si>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</si>
  <si>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</si>
  <si>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</si>
  <si>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</si>
  <si>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</si>
  <si>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</si>
  <si>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</si>
  <si>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</si>
  <si>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</si>
  <si>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</si>
  <si>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</si>
  <si>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</si>
  <si>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</si>
  <si>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</si>
  <si>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</si>
  <si>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</si>
  <si>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</si>
  <si>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</si>
  <si>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</si>
  <si>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</si>
  <si>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</si>
  <si>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</si>
  <si>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</si>
  <si>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</si>
  <si>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</si>
  <si>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</si>
  <si>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</si>
  <si>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</si>
  <si>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 EvenCrisp™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</si>
  <si>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</si>
  <si>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</si>
  <si>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</si>
  <si>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</si>
  <si>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</si>
  <si>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</si>
  <si>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</si>
  <si>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</si>
  <si>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</si>
  <si>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</si>
  <si>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StandMixerAccessories</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</si>
  <si>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</si>
  <si>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</si>
  <si>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</si>
  <si>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</si>
  <si>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RoboticVacuums</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</si>
  <si>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</si>
  <si>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</si>
  <si>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</si>
  <si>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</si>
  <si>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</si>
  <si>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</si>
  <si>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</si>
  <si>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</si>
  <si>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</si>
  <si>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</si>
  <si>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</si>
  <si>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</si>
  <si>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</si>
  <si>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</si>
  <si>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</si>
  <si>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</si>
  <si>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</si>
  <si>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</si>
  <si>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</si>
  <si>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</si>
  <si>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</si>
  <si>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</si>
  <si>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</si>
  <si>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</si>
  <si>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</si>
  <si>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</si>
  <si>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</si>
  <si>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</si>
  <si>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</si>
  <si>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</si>
  <si>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</si>
  <si>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</si>
  <si>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</si>
  <si>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</si>
  <si>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</si>
  <si>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</si>
  <si>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</si>
  <si>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</si>
  <si>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</si>
  <si>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</si>
  <si>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</si>
  <si>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</si>
  <si>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</si>
  <si>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</si>
  <si>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</si>
  <si>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</si>
  <si>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</si>
  <si>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</si>
  <si>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</si>
  <si>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</si>
  <si>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</si>
  <si>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</si>
  <si>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</si>
  <si>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</si>
  <si>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</si>
  <si>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</si>
  <si>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</si>
  <si>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</si>
  <si>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YogurtMakers</t>
  </si>
  <si>
    <t>B07R679HTT</t>
  </si>
  <si>
    <t>AGARO Imperial 240-Watt Slow Juicer with Cold Press Technology</t>
  </si>
  <si>
    <t>ColdPressJuicers</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</si>
  <si>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</si>
  <si>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</si>
  <si>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</si>
  <si>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</si>
  <si>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</si>
  <si>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</si>
  <si>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</si>
  <si>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</si>
  <si>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</si>
  <si>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</si>
  <si>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</si>
  <si>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</si>
  <si>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</si>
  <si>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</si>
  <si>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</si>
  <si>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</si>
  <si>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</si>
  <si>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</si>
  <si>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</si>
  <si>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</si>
  <si>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</si>
  <si>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</si>
  <si>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</si>
  <si>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</si>
  <si>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</si>
  <si>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</si>
  <si>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</si>
  <si>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</si>
  <si>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</si>
  <si>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</si>
  <si>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</si>
  <si>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</si>
  <si>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</si>
  <si>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</si>
  <si>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</si>
  <si>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</si>
  <si>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Split-SystemAirConditioners</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</si>
  <si>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</si>
  <si>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</si>
  <si>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</si>
  <si>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</si>
  <si>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</si>
  <si>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</si>
  <si>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</si>
  <si>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</si>
  <si>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SmallApplianceParts&amp;Accessories</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</si>
  <si>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</si>
  <si>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</si>
  <si>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</si>
  <si>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</si>
  <si>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</si>
  <si>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</si>
  <si>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</si>
  <si>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</si>
  <si>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WaffleMakers&amp;Irons</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</si>
  <si>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</si>
  <si>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</si>
  <si>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</si>
  <si>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</si>
  <si>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</si>
  <si>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</si>
  <si>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</si>
  <si>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</si>
  <si>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</si>
  <si>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</si>
  <si>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</si>
  <si>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</si>
  <si>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</si>
  <si>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</si>
  <si>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StovetopEspressoPots</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</si>
  <si>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</si>
  <si>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</si>
  <si>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</si>
  <si>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</si>
  <si>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</si>
  <si>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</si>
  <si>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</si>
  <si>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</si>
  <si>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</si>
  <si>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</si>
  <si>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</si>
  <si>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</si>
  <si>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MeasuringSpoons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</si>
  <si>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</si>
  <si>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</si>
  <si>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</si>
  <si>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</si>
  <si>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</si>
  <si>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</si>
  <si>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</si>
  <si>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</si>
  <si>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</si>
  <si>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</si>
  <si>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</si>
  <si>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</si>
  <si>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</si>
  <si>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</si>
  <si>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</si>
  <si>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</si>
  <si>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</si>
  <si>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</si>
  <si>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</si>
  <si>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</si>
  <si>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</si>
  <si>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</si>
  <si>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</si>
  <si>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</si>
  <si>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</si>
  <si>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</si>
  <si>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</si>
  <si>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</si>
  <si>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</si>
  <si>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</si>
  <si>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</si>
  <si>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</si>
  <si>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</si>
  <si>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</si>
  <si>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</si>
  <si>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</si>
  <si>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</si>
  <si>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</si>
  <si>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</si>
  <si>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</si>
  <si>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</si>
  <si>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</si>
  <si>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</si>
  <si>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</si>
  <si>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</si>
  <si>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</si>
  <si>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</si>
  <si>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</si>
  <si>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CoffeePresses</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</si>
  <si>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</si>
  <si>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</si>
  <si>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</si>
  <si>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</si>
  <si>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</si>
  <si>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</si>
  <si>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</si>
  <si>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</si>
  <si>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</si>
  <si>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</si>
  <si>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</si>
  <si>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</si>
  <si>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</si>
  <si>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</si>
  <si>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</si>
  <si>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</si>
  <si>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</si>
  <si>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</si>
  <si>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</si>
  <si>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</si>
  <si>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</si>
  <si>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</si>
  <si>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</si>
  <si>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</si>
  <si>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</si>
  <si>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</si>
  <si>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</si>
  <si>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</si>
  <si>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</si>
  <si>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</si>
  <si>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</si>
  <si>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</si>
  <si>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</si>
  <si>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</si>
  <si>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</si>
  <si>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</si>
  <si>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</si>
  <si>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</si>
  <si>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RotiMakers</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</si>
  <si>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</si>
  <si>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</si>
  <si>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</si>
  <si>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</si>
  <si>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</si>
  <si>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</si>
  <si>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</si>
  <si>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</si>
  <si>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FanParts&amp;Accessories</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</si>
  <si>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</si>
  <si>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</si>
  <si>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</si>
  <si>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</si>
  <si>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</si>
  <si>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</si>
  <si>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</si>
  <si>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</si>
  <si>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</si>
  <si>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</si>
  <si>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</si>
  <si>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</si>
  <si>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</si>
  <si>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</si>
  <si>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</si>
  <si>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</si>
  <si>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</si>
  <si>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</si>
  <si>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</si>
  <si>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</si>
  <si>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StandMixers</t>
  </si>
  <si>
    <t>B08WWKM5HQ</t>
  </si>
  <si>
    <t>Crompton Highspeed Markle Prime 1200 mm (48 inch) Anti-Dust Ceiling Fan with Energy Efficient 55W Motor (Burgundy)</t>
  </si>
  <si>
    <t>B015GX9Y0W</t>
  </si>
  <si>
    <t>Lifelong LLWM105 750-Watt Belgian Waffle Maker for Home| Makes 2 Square Shape Waffles| Non-stick Plates| Easy to Use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</si>
  <si>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</si>
  <si>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</si>
  <si>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</si>
  <si>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</si>
  <si>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</si>
  <si>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</si>
  <si>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</si>
  <si>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</si>
  <si>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</si>
  <si>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</si>
  <si>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PedestalFans</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</si>
  <si>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</si>
  <si>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</si>
  <si>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</si>
  <si>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</si>
  <si>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</si>
  <si>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</si>
  <si>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</si>
  <si>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</si>
  <si>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</si>
  <si>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</si>
  <si>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HandheldBags</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</si>
  <si>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</si>
  <si>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</si>
  <si>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</si>
  <si>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</si>
  <si>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</si>
  <si>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</si>
  <si>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</si>
  <si>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</si>
  <si>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</si>
  <si>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</si>
  <si>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</si>
  <si>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</si>
  <si>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</si>
  <si>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</si>
  <si>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</si>
  <si>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</si>
  <si>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</si>
  <si>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</si>
  <si>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</si>
  <si>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</si>
  <si>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</si>
  <si>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</si>
  <si>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</si>
  <si>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</si>
  <si>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</si>
  <si>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</si>
  <si>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</si>
  <si>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</si>
  <si>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</si>
  <si>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</si>
  <si>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</si>
  <si>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</si>
  <si>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</si>
  <si>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</si>
  <si>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</si>
  <si>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</si>
  <si>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</si>
  <si>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</si>
  <si>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</si>
  <si>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</si>
  <si>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Amazon Product Analytics — Summary</t>
  </si>
  <si>
    <t>Category</t>
  </si>
  <si>
    <t>Num Products</t>
  </si>
  <si>
    <t>Avg Discounted Price</t>
  </si>
  <si>
    <t>Avg Discount %</t>
  </si>
  <si>
    <t>Avg Rating</t>
  </si>
  <si>
    <t>Total Reviews</t>
  </si>
  <si>
    <t>Overall KPIs</t>
  </si>
  <si>
    <t>Total Products</t>
  </si>
  <si>
    <t>Average Rating (all products)</t>
  </si>
  <si>
    <t>Average Discount %</t>
  </si>
  <si>
    <t>Review Sentiment vs Star Rating</t>
  </si>
  <si>
    <t>Sentiment Label</t>
  </si>
  <si>
    <t>Avg Star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</si>
</sst>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4"/>
      <name val="Arial"/>
    </font>
    <font>
      <b/>
      <sz val="12"/>
      <name val="Arial"/>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Average Rating by Category</a:t>
            </a:r>
          </a:p>
        </c:rich>
      </c:tx>
      <c:layout>
        <c:manualLayout>
          <c:xMode val="edge"/>
          <c:yMode val="edge"/>
          <c:x val="0.35036836419753087"/>
          <c:y val="0"/>
        </c:manualLayout>
      </c:layout>
      <c:overlay val="1"/>
    </c:title>
    <c:autoTitleDeleted val="0"/>
    <c:plotArea>
      <c:layout/>
      <c:barChart>
        <c:barDir val="col"/>
        <c:grouping val="clustered"/>
        <c:varyColors val="1"/>
        <c:ser>
          <c:idx val="0"/>
          <c:order val="0"/>
          <c:tx>
            <c:strRef>
              <c:f>Summary!$E$3</c:f>
              <c:strCache>
                <c:ptCount val="1"/>
                <c:pt idx="0">
                  <c:v>Avg Rating</c:v>
                </c:pt>
              </c:strCache>
            </c:strRef>
          </c:tx>
          <c:spPr>
            <a:ln>
              <a:prstDash val="solid"/>
            </a:ln>
          </c:spPr>
          <c:invertIfNegative val="1"/>
          <c:cat>
            <c:strRef>
              <c:f>Summary!$A$4:$A$12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Summary!$E$4:$E$12</c:f>
              <c:numCache>
                <c:formatCode>General</c:formatCode>
                <c:ptCount val="9"/>
                <c:pt idx="0">
                  <c:v>3.8</c:v>
                </c:pt>
                <c:pt idx="1">
                  <c:v>4.1500000000000004</c:v>
                </c:pt>
                <c:pt idx="2">
                  <c:v>4.08</c:v>
                </c:pt>
                <c:pt idx="3">
                  <c:v>4</c:v>
                </c:pt>
                <c:pt idx="4">
                  <c:v>4.04</c:v>
                </c:pt>
                <c:pt idx="5">
                  <c:v>4.25</c:v>
                </c:pt>
                <c:pt idx="6">
                  <c:v>3.9</c:v>
                </c:pt>
                <c:pt idx="7">
                  <c:v>4.3099999999999996</c:v>
                </c:pt>
                <c:pt idx="8">
                  <c:v>4.3</c:v>
                </c:pt>
              </c:numCache>
            </c:numRef>
          </c:val>
          <c:extLst>
            <c:ext xmlns:c16="http://schemas.microsoft.com/office/drawing/2014/chart" uri="{C3380CC4-5D6E-409C-BE32-E72D297353CC}">
              <c16:uniqueId val="{00000000-E332-4529-843A-BFC6AEBFD8E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sz="900"/>
                  <a:t>Category</a:t>
                </a:r>
              </a:p>
            </c:rich>
          </c:tx>
          <c:layout>
            <c:manualLayout>
              <c:xMode val="edge"/>
              <c:yMode val="edge"/>
              <c:x val="0.34247993827160494"/>
              <c:y val="0.94988777777777778"/>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Avg Rating</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Product Count by Category</a:t>
            </a:r>
          </a:p>
        </c:rich>
      </c:tx>
      <c:layout>
        <c:manualLayout>
          <c:xMode val="edge"/>
          <c:yMode val="edge"/>
          <c:x val="0.11279968151463081"/>
          <c:y val="1.1300943228332444E-2"/>
        </c:manualLayout>
      </c:layout>
      <c:overlay val="1"/>
    </c:title>
    <c:autoTitleDeleted val="0"/>
    <c:plotArea>
      <c:layout/>
      <c:pieChart>
        <c:varyColors val="1"/>
        <c:ser>
          <c:idx val="0"/>
          <c:order val="0"/>
          <c:tx>
            <c:strRef>
              <c:f>Summary!$B$3</c:f>
              <c:strCache>
                <c:ptCount val="1"/>
                <c:pt idx="0">
                  <c:v>Num Products</c:v>
                </c:pt>
              </c:strCache>
            </c:strRef>
          </c:tx>
          <c:spPr>
            <a:ln>
              <a:prstDash val="solid"/>
            </a:ln>
          </c:spPr>
          <c:cat>
            <c:strRef>
              <c:f>Summary!$A$4:$A$12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Summary!$B$4:$B$12</c:f>
              <c:numCache>
                <c:formatCode>General</c:formatCode>
                <c:ptCount val="9"/>
                <c:pt idx="0">
                  <c:v>1</c:v>
                </c:pt>
                <c:pt idx="1">
                  <c:v>373</c:v>
                </c:pt>
                <c:pt idx="2">
                  <c:v>490</c:v>
                </c:pt>
                <c:pt idx="3">
                  <c:v>1</c:v>
                </c:pt>
                <c:pt idx="4">
                  <c:v>447</c:v>
                </c:pt>
                <c:pt idx="5">
                  <c:v>2</c:v>
                </c:pt>
                <c:pt idx="6">
                  <c:v>2</c:v>
                </c:pt>
                <c:pt idx="7">
                  <c:v>31</c:v>
                </c:pt>
                <c:pt idx="8">
                  <c:v>1</c:v>
                </c:pt>
              </c:numCache>
            </c:numRef>
          </c:val>
          <c:extLst>
            <c:ext xmlns:c16="http://schemas.microsoft.com/office/drawing/2014/chart" uri="{C3380CC4-5D6E-409C-BE32-E72D297353CC}">
              <c16:uniqueId val="{00000000-D9C0-4ED7-B379-09C268D352B0}"/>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596836</xdr:colOff>
      <xdr:row>1</xdr:row>
      <xdr:rowOff>168210</xdr:rowOff>
    </xdr:from>
    <xdr:ext cx="648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7620</xdr:colOff>
      <xdr:row>22</xdr:row>
      <xdr:rowOff>68580</xdr:rowOff>
    </xdr:from>
    <xdr:ext cx="6355080" cy="33714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Data" displayName="ProductData" ref="A1:M1349">
  <autoFilter ref="A1:M1349" xr:uid="{00000000-0009-0000-0100-000001000000}"/>
  <tableColumns count="13">
    <tableColumn id="1" xr3:uid="{00000000-0010-0000-0000-000001000000}" name="product_id"/>
    <tableColumn id="2" xr3:uid="{00000000-0010-0000-0000-000002000000}" name="product_name"/>
    <tableColumn id="3" xr3:uid="{00000000-0010-0000-0000-000003000000}" name="main_category"/>
    <tableColumn id="4" xr3:uid="{00000000-0010-0000-0000-000004000000}" name="sub_category"/>
    <tableColumn id="5" xr3:uid="{00000000-0010-0000-0000-000005000000}" name="actual_price"/>
    <tableColumn id="6" xr3:uid="{00000000-0010-0000-0000-000006000000}" name="discounted_price"/>
    <tableColumn id="7" xr3:uid="{00000000-0010-0000-0000-000007000000}" name="discount_percentage"/>
    <tableColumn id="8" xr3:uid="{00000000-0010-0000-0000-000008000000}" name="savings_amount"/>
    <tableColumn id="9" xr3:uid="{00000000-0010-0000-0000-000009000000}" name="price_bucket"/>
    <tableColumn id="10" xr3:uid="{00000000-0010-0000-0000-00000A000000}" name="rating"/>
    <tableColumn id="11" xr3:uid="{00000000-0010-0000-0000-00000B000000}" name="rating_count"/>
    <tableColumn id="12" xr3:uid="{00000000-0010-0000-0000-00000C000000}" name="sentiment_score"/>
    <tableColumn id="13" xr3:uid="{00000000-0010-0000-0000-00000D000000}" name="sentiment_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49"/>
  <sheetViews>
    <sheetView topLeftCell="A67" workbookViewId="0"/>
  </sheetViews>
  <sheetFormatPr defaultRowHeight="14.4" x14ac:dyDescent="0.3"/>
  <cols>
    <col min="1" max="1" width="12" customWidth="1"/>
    <col min="2" max="2" width="45" customWidth="1"/>
    <col min="3" max="3" width="23" customWidth="1"/>
    <col min="4" max="4" width="21" customWidth="1"/>
    <col min="5" max="5" width="14" customWidth="1"/>
    <col min="6" max="6" width="18" customWidth="1"/>
    <col min="7" max="7" width="21" customWidth="1"/>
    <col min="8" max="8" width="16" customWidth="1"/>
    <col min="9" max="9" width="14" customWidth="1"/>
    <col min="10" max="10" width="10" customWidth="1"/>
    <col min="11" max="11" width="14" customWidth="1"/>
    <col min="12" max="12" width="21" customWidth="1"/>
    <col min="13" max="13" width="17"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v>1099</v>
      </c>
      <c r="F2">
        <v>399</v>
      </c>
      <c r="G2">
        <v>64</v>
      </c>
      <c r="H2">
        <v>700</v>
      </c>
      <c r="I2" t="s">
        <v>17</v>
      </c>
      <c r="J2">
        <v>4.2</v>
      </c>
      <c r="K2">
        <v>24269</v>
      </c>
      <c r="L2">
        <v>0.4819444444444444</v>
      </c>
      <c r="M2" t="s">
        <v>18</v>
      </c>
    </row>
    <row r="3" spans="1:13" x14ac:dyDescent="0.3">
      <c r="A3" t="s">
        <v>19</v>
      </c>
      <c r="B3" t="s">
        <v>20</v>
      </c>
      <c r="C3" t="s">
        <v>15</v>
      </c>
      <c r="D3" t="s">
        <v>16</v>
      </c>
      <c r="E3">
        <v>349</v>
      </c>
      <c r="F3">
        <v>199</v>
      </c>
      <c r="G3">
        <v>43</v>
      </c>
      <c r="H3">
        <v>150</v>
      </c>
      <c r="I3" t="s">
        <v>17</v>
      </c>
      <c r="J3">
        <v>4</v>
      </c>
      <c r="K3">
        <v>43994</v>
      </c>
      <c r="L3">
        <v>0.27431818181818179</v>
      </c>
      <c r="M3" t="s">
        <v>18</v>
      </c>
    </row>
    <row r="4" spans="1:13" x14ac:dyDescent="0.3">
      <c r="A4" t="s">
        <v>21</v>
      </c>
      <c r="B4" t="s">
        <v>22</v>
      </c>
      <c r="C4" t="s">
        <v>15</v>
      </c>
      <c r="D4" t="s">
        <v>16</v>
      </c>
      <c r="E4">
        <v>1899</v>
      </c>
      <c r="F4">
        <v>199</v>
      </c>
      <c r="G4">
        <v>90</v>
      </c>
      <c r="H4">
        <v>1700</v>
      </c>
      <c r="I4" t="s">
        <v>17</v>
      </c>
      <c r="J4">
        <v>3.9</v>
      </c>
      <c r="K4">
        <v>7928</v>
      </c>
      <c r="L4">
        <v>0.6</v>
      </c>
      <c r="M4" t="s">
        <v>18</v>
      </c>
    </row>
    <row r="5" spans="1:13" x14ac:dyDescent="0.3">
      <c r="A5" t="s">
        <v>23</v>
      </c>
      <c r="B5" t="s">
        <v>24</v>
      </c>
      <c r="C5" t="s">
        <v>15</v>
      </c>
      <c r="D5" t="s">
        <v>16</v>
      </c>
      <c r="E5">
        <v>699</v>
      </c>
      <c r="F5">
        <v>329</v>
      </c>
      <c r="G5">
        <v>53</v>
      </c>
      <c r="H5">
        <v>370</v>
      </c>
      <c r="I5" t="s">
        <v>17</v>
      </c>
      <c r="J5">
        <v>4.2</v>
      </c>
      <c r="K5">
        <v>94363</v>
      </c>
      <c r="L5">
        <v>0.24037037037037029</v>
      </c>
      <c r="M5" t="s">
        <v>18</v>
      </c>
    </row>
    <row r="6" spans="1:13" x14ac:dyDescent="0.3">
      <c r="A6" t="s">
        <v>25</v>
      </c>
      <c r="B6" t="s">
        <v>26</v>
      </c>
      <c r="C6" t="s">
        <v>15</v>
      </c>
      <c r="D6" t="s">
        <v>16</v>
      </c>
      <c r="E6">
        <v>399</v>
      </c>
      <c r="F6">
        <v>154</v>
      </c>
      <c r="G6">
        <v>61</v>
      </c>
      <c r="H6">
        <v>245</v>
      </c>
      <c r="I6" t="s">
        <v>17</v>
      </c>
      <c r="J6">
        <v>4.2</v>
      </c>
      <c r="K6">
        <v>16905</v>
      </c>
      <c r="L6">
        <v>0.26274038461538463</v>
      </c>
      <c r="M6" t="s">
        <v>18</v>
      </c>
    </row>
    <row r="7" spans="1:13" x14ac:dyDescent="0.3">
      <c r="A7" t="s">
        <v>27</v>
      </c>
      <c r="B7" t="s">
        <v>28</v>
      </c>
      <c r="C7" t="s">
        <v>15</v>
      </c>
      <c r="D7" t="s">
        <v>16</v>
      </c>
      <c r="E7">
        <v>1000</v>
      </c>
      <c r="F7">
        <v>149</v>
      </c>
      <c r="G7">
        <v>85</v>
      </c>
      <c r="H7">
        <v>851</v>
      </c>
      <c r="I7" t="s">
        <v>17</v>
      </c>
      <c r="J7">
        <v>3.9</v>
      </c>
      <c r="K7">
        <v>24871</v>
      </c>
      <c r="L7">
        <v>0.48666666666666658</v>
      </c>
      <c r="M7" t="s">
        <v>18</v>
      </c>
    </row>
    <row r="8" spans="1:13" x14ac:dyDescent="0.3">
      <c r="A8" t="s">
        <v>29</v>
      </c>
      <c r="B8" t="s">
        <v>30</v>
      </c>
      <c r="C8" t="s">
        <v>15</v>
      </c>
      <c r="D8" t="s">
        <v>16</v>
      </c>
      <c r="E8">
        <v>499</v>
      </c>
      <c r="F8">
        <v>176.63</v>
      </c>
      <c r="G8">
        <v>65</v>
      </c>
      <c r="H8">
        <v>322.37</v>
      </c>
      <c r="I8" t="s">
        <v>17</v>
      </c>
      <c r="J8">
        <v>4.0999999999999996</v>
      </c>
      <c r="K8">
        <v>15188</v>
      </c>
      <c r="L8">
        <v>0.6777777777777777</v>
      </c>
      <c r="M8" t="s">
        <v>18</v>
      </c>
    </row>
    <row r="9" spans="1:13" x14ac:dyDescent="0.3">
      <c r="A9" t="s">
        <v>31</v>
      </c>
      <c r="B9" t="s">
        <v>32</v>
      </c>
      <c r="C9" t="s">
        <v>15</v>
      </c>
      <c r="D9" t="s">
        <v>16</v>
      </c>
      <c r="E9">
        <v>299</v>
      </c>
      <c r="F9">
        <v>229</v>
      </c>
      <c r="G9">
        <v>23</v>
      </c>
      <c r="H9">
        <v>70</v>
      </c>
      <c r="I9" t="s">
        <v>17</v>
      </c>
      <c r="J9">
        <v>4.3</v>
      </c>
      <c r="K9">
        <v>30411</v>
      </c>
      <c r="L9">
        <v>0.37604166666666661</v>
      </c>
      <c r="M9" t="s">
        <v>18</v>
      </c>
    </row>
    <row r="10" spans="1:13" x14ac:dyDescent="0.3">
      <c r="A10" t="s">
        <v>33</v>
      </c>
      <c r="B10" t="s">
        <v>34</v>
      </c>
      <c r="C10" t="s">
        <v>15</v>
      </c>
      <c r="D10" t="s">
        <v>35</v>
      </c>
      <c r="E10">
        <v>999</v>
      </c>
      <c r="F10">
        <v>499</v>
      </c>
      <c r="G10">
        <v>50</v>
      </c>
      <c r="H10">
        <v>500</v>
      </c>
      <c r="I10" t="s">
        <v>17</v>
      </c>
      <c r="J10">
        <v>4.2</v>
      </c>
      <c r="K10">
        <v>179691</v>
      </c>
      <c r="L10">
        <v>0.27894067135050737</v>
      </c>
      <c r="M10" t="s">
        <v>18</v>
      </c>
    </row>
    <row r="11" spans="1:13" x14ac:dyDescent="0.3">
      <c r="A11" t="s">
        <v>36</v>
      </c>
      <c r="B11" t="s">
        <v>37</v>
      </c>
      <c r="C11" t="s">
        <v>15</v>
      </c>
      <c r="D11" t="s">
        <v>16</v>
      </c>
      <c r="E11">
        <v>299</v>
      </c>
      <c r="F11">
        <v>199</v>
      </c>
      <c r="G11">
        <v>33</v>
      </c>
      <c r="H11">
        <v>100</v>
      </c>
      <c r="I11" t="s">
        <v>17</v>
      </c>
      <c r="J11">
        <v>4</v>
      </c>
      <c r="K11">
        <v>43994</v>
      </c>
      <c r="L11">
        <v>0.27431818181818179</v>
      </c>
      <c r="M11" t="s">
        <v>18</v>
      </c>
    </row>
    <row r="12" spans="1:13" x14ac:dyDescent="0.3">
      <c r="A12" t="s">
        <v>38</v>
      </c>
      <c r="B12" t="s">
        <v>39</v>
      </c>
      <c r="C12" t="s">
        <v>15</v>
      </c>
      <c r="D12" t="s">
        <v>16</v>
      </c>
      <c r="E12">
        <v>339</v>
      </c>
      <c r="F12">
        <v>154</v>
      </c>
      <c r="G12">
        <v>55</v>
      </c>
      <c r="H12">
        <v>185</v>
      </c>
      <c r="I12" t="s">
        <v>17</v>
      </c>
      <c r="J12">
        <v>4.3</v>
      </c>
      <c r="K12">
        <v>13391</v>
      </c>
      <c r="L12">
        <v>0.1339999999999999</v>
      </c>
      <c r="M12" t="s">
        <v>18</v>
      </c>
    </row>
    <row r="13" spans="1:13" x14ac:dyDescent="0.3">
      <c r="A13" t="s">
        <v>40</v>
      </c>
      <c r="B13" t="s">
        <v>41</v>
      </c>
      <c r="C13" t="s">
        <v>15</v>
      </c>
      <c r="D13" t="s">
        <v>16</v>
      </c>
      <c r="E13">
        <v>799</v>
      </c>
      <c r="F13">
        <v>299</v>
      </c>
      <c r="G13">
        <v>63</v>
      </c>
      <c r="H13">
        <v>500</v>
      </c>
      <c r="I13" t="s">
        <v>17</v>
      </c>
      <c r="J13">
        <v>4.2</v>
      </c>
      <c r="K13">
        <v>94363</v>
      </c>
      <c r="L13">
        <v>0.24037037037037029</v>
      </c>
      <c r="M13" t="s">
        <v>18</v>
      </c>
    </row>
    <row r="14" spans="1:13" x14ac:dyDescent="0.3">
      <c r="A14" t="s">
        <v>42</v>
      </c>
      <c r="B14" t="s">
        <v>43</v>
      </c>
      <c r="C14" t="s">
        <v>44</v>
      </c>
      <c r="D14" t="s">
        <v>45</v>
      </c>
      <c r="E14">
        <v>700</v>
      </c>
      <c r="F14">
        <v>219</v>
      </c>
      <c r="G14">
        <v>69</v>
      </c>
      <c r="H14">
        <v>481</v>
      </c>
      <c r="I14" t="s">
        <v>17</v>
      </c>
      <c r="J14">
        <v>4.4000000000000004</v>
      </c>
      <c r="K14">
        <v>426973</v>
      </c>
      <c r="L14">
        <v>0.3747899159663865</v>
      </c>
      <c r="M14" t="s">
        <v>18</v>
      </c>
    </row>
    <row r="15" spans="1:13" x14ac:dyDescent="0.3">
      <c r="A15" t="s">
        <v>46</v>
      </c>
      <c r="B15" t="s">
        <v>47</v>
      </c>
      <c r="C15" t="s">
        <v>15</v>
      </c>
      <c r="D15" t="s">
        <v>16</v>
      </c>
      <c r="E15">
        <v>899</v>
      </c>
      <c r="F15">
        <v>350</v>
      </c>
      <c r="G15">
        <v>61</v>
      </c>
      <c r="H15">
        <v>549</v>
      </c>
      <c r="I15" t="s">
        <v>17</v>
      </c>
      <c r="J15">
        <v>4.2</v>
      </c>
      <c r="K15">
        <v>2262</v>
      </c>
      <c r="L15">
        <v>0.24014550264550261</v>
      </c>
      <c r="M15" t="s">
        <v>18</v>
      </c>
    </row>
    <row r="16" spans="1:13" x14ac:dyDescent="0.3">
      <c r="A16" t="s">
        <v>48</v>
      </c>
      <c r="B16" t="s">
        <v>49</v>
      </c>
      <c r="C16" t="s">
        <v>15</v>
      </c>
      <c r="D16" t="s">
        <v>16</v>
      </c>
      <c r="E16">
        <v>399</v>
      </c>
      <c r="F16">
        <v>159</v>
      </c>
      <c r="G16">
        <v>60</v>
      </c>
      <c r="H16">
        <v>240</v>
      </c>
      <c r="I16" t="s">
        <v>17</v>
      </c>
      <c r="J16">
        <v>4.0999999999999996</v>
      </c>
      <c r="K16">
        <v>4768</v>
      </c>
      <c r="L16">
        <v>0.41316239316239312</v>
      </c>
      <c r="M16" t="s">
        <v>18</v>
      </c>
    </row>
    <row r="17" spans="1:13" x14ac:dyDescent="0.3">
      <c r="A17" t="s">
        <v>50</v>
      </c>
      <c r="B17" t="s">
        <v>51</v>
      </c>
      <c r="C17" t="s">
        <v>15</v>
      </c>
      <c r="D17" t="s">
        <v>16</v>
      </c>
      <c r="E17">
        <v>399</v>
      </c>
      <c r="F17">
        <v>349</v>
      </c>
      <c r="G17">
        <v>13</v>
      </c>
      <c r="H17">
        <v>50</v>
      </c>
      <c r="I17" t="s">
        <v>17</v>
      </c>
      <c r="J17">
        <v>4.4000000000000004</v>
      </c>
      <c r="K17">
        <v>18757</v>
      </c>
      <c r="L17">
        <v>0.24861111111111109</v>
      </c>
      <c r="M17" t="s">
        <v>18</v>
      </c>
    </row>
    <row r="18" spans="1:13" x14ac:dyDescent="0.3">
      <c r="A18" t="s">
        <v>52</v>
      </c>
      <c r="B18" t="s">
        <v>53</v>
      </c>
      <c r="C18" t="s">
        <v>44</v>
      </c>
      <c r="D18" t="s">
        <v>54</v>
      </c>
      <c r="E18">
        <v>24999</v>
      </c>
      <c r="F18">
        <v>13999</v>
      </c>
      <c r="G18">
        <v>44</v>
      </c>
      <c r="H18">
        <v>11000</v>
      </c>
      <c r="I18" t="s">
        <v>55</v>
      </c>
      <c r="J18">
        <v>4.2</v>
      </c>
      <c r="K18">
        <v>32840</v>
      </c>
      <c r="L18">
        <v>0.4046153846153846</v>
      </c>
      <c r="M18" t="s">
        <v>18</v>
      </c>
    </row>
    <row r="19" spans="1:13" x14ac:dyDescent="0.3">
      <c r="A19" t="s">
        <v>56</v>
      </c>
      <c r="B19" t="s">
        <v>57</v>
      </c>
      <c r="C19" t="s">
        <v>15</v>
      </c>
      <c r="D19" t="s">
        <v>16</v>
      </c>
      <c r="E19">
        <v>399</v>
      </c>
      <c r="F19">
        <v>249</v>
      </c>
      <c r="G19">
        <v>38</v>
      </c>
      <c r="H19">
        <v>150</v>
      </c>
      <c r="I19" t="s">
        <v>17</v>
      </c>
      <c r="J19">
        <v>4</v>
      </c>
      <c r="K19">
        <v>43994</v>
      </c>
      <c r="L19">
        <v>0.27431818181818179</v>
      </c>
      <c r="M19" t="s">
        <v>18</v>
      </c>
    </row>
    <row r="20" spans="1:13" x14ac:dyDescent="0.3">
      <c r="A20" t="s">
        <v>58</v>
      </c>
      <c r="B20" t="s">
        <v>59</v>
      </c>
      <c r="C20" t="s">
        <v>15</v>
      </c>
      <c r="D20" t="s">
        <v>16</v>
      </c>
      <c r="E20">
        <v>499</v>
      </c>
      <c r="F20">
        <v>199</v>
      </c>
      <c r="G20">
        <v>60</v>
      </c>
      <c r="H20">
        <v>300</v>
      </c>
      <c r="I20" t="s">
        <v>17</v>
      </c>
      <c r="J20">
        <v>4.0999999999999996</v>
      </c>
      <c r="K20">
        <v>13045</v>
      </c>
      <c r="L20">
        <v>0.14906746031746029</v>
      </c>
      <c r="M20" t="s">
        <v>18</v>
      </c>
    </row>
    <row r="21" spans="1:13" x14ac:dyDescent="0.3">
      <c r="A21" t="s">
        <v>60</v>
      </c>
      <c r="B21" t="s">
        <v>61</v>
      </c>
      <c r="C21" t="s">
        <v>44</v>
      </c>
      <c r="D21" t="s">
        <v>54</v>
      </c>
      <c r="E21">
        <v>21990</v>
      </c>
      <c r="F21">
        <v>13490</v>
      </c>
      <c r="G21">
        <v>39</v>
      </c>
      <c r="H21">
        <v>8500</v>
      </c>
      <c r="I21" t="s">
        <v>55</v>
      </c>
      <c r="J21">
        <v>4.3</v>
      </c>
      <c r="K21">
        <v>11976</v>
      </c>
      <c r="L21">
        <v>0.3783333333333333</v>
      </c>
      <c r="M21" t="s">
        <v>18</v>
      </c>
    </row>
    <row r="22" spans="1:13" x14ac:dyDescent="0.3">
      <c r="A22" t="s">
        <v>62</v>
      </c>
      <c r="B22" t="s">
        <v>63</v>
      </c>
      <c r="C22" t="s">
        <v>15</v>
      </c>
      <c r="D22" t="s">
        <v>16</v>
      </c>
      <c r="E22">
        <v>1799</v>
      </c>
      <c r="F22">
        <v>970</v>
      </c>
      <c r="G22">
        <v>46</v>
      </c>
      <c r="H22">
        <v>829</v>
      </c>
      <c r="I22" t="s">
        <v>64</v>
      </c>
      <c r="J22">
        <v>4.5</v>
      </c>
      <c r="K22">
        <v>815</v>
      </c>
      <c r="L22">
        <v>0.65242424242424246</v>
      </c>
      <c r="M22" t="s">
        <v>18</v>
      </c>
    </row>
    <row r="23" spans="1:13" x14ac:dyDescent="0.3">
      <c r="A23" t="s">
        <v>65</v>
      </c>
      <c r="B23" t="s">
        <v>66</v>
      </c>
      <c r="C23" t="s">
        <v>44</v>
      </c>
      <c r="D23" t="s">
        <v>45</v>
      </c>
      <c r="E23">
        <v>499</v>
      </c>
      <c r="F23">
        <v>279</v>
      </c>
      <c r="G23">
        <v>44</v>
      </c>
      <c r="H23">
        <v>220</v>
      </c>
      <c r="I23" t="s">
        <v>17</v>
      </c>
      <c r="J23">
        <v>3.7</v>
      </c>
      <c r="K23">
        <v>10962</v>
      </c>
      <c r="L23">
        <v>0.13805555555555549</v>
      </c>
      <c r="M23" t="s">
        <v>18</v>
      </c>
    </row>
    <row r="24" spans="1:13" x14ac:dyDescent="0.3">
      <c r="A24" t="s">
        <v>67</v>
      </c>
      <c r="B24" t="s">
        <v>68</v>
      </c>
      <c r="C24" t="s">
        <v>44</v>
      </c>
      <c r="D24" t="s">
        <v>54</v>
      </c>
      <c r="E24">
        <v>22900</v>
      </c>
      <c r="F24">
        <v>13490</v>
      </c>
      <c r="G24">
        <v>41</v>
      </c>
      <c r="H24">
        <v>9410</v>
      </c>
      <c r="I24" t="s">
        <v>55</v>
      </c>
      <c r="J24">
        <v>4.3</v>
      </c>
      <c r="K24">
        <v>16299</v>
      </c>
      <c r="L24">
        <v>-0.1722448979591836</v>
      </c>
      <c r="M24" t="s">
        <v>69</v>
      </c>
    </row>
    <row r="25" spans="1:13" x14ac:dyDescent="0.3">
      <c r="A25" t="s">
        <v>70</v>
      </c>
      <c r="B25" t="s">
        <v>71</v>
      </c>
      <c r="C25" t="s">
        <v>15</v>
      </c>
      <c r="D25" t="s">
        <v>16</v>
      </c>
      <c r="E25">
        <v>199</v>
      </c>
      <c r="F25">
        <v>59</v>
      </c>
      <c r="G25">
        <v>70</v>
      </c>
      <c r="H25">
        <v>140</v>
      </c>
      <c r="I25" t="s">
        <v>17</v>
      </c>
      <c r="J25">
        <v>4</v>
      </c>
      <c r="K25">
        <v>9378</v>
      </c>
      <c r="L25">
        <v>0.47333333333333327</v>
      </c>
      <c r="M25" t="s">
        <v>18</v>
      </c>
    </row>
    <row r="26" spans="1:13" x14ac:dyDescent="0.3">
      <c r="A26" t="s">
        <v>72</v>
      </c>
      <c r="B26" t="s">
        <v>73</v>
      </c>
      <c r="C26" t="s">
        <v>44</v>
      </c>
      <c r="D26" t="s">
        <v>54</v>
      </c>
      <c r="E26">
        <v>19990</v>
      </c>
      <c r="F26">
        <v>11499</v>
      </c>
      <c r="G26">
        <v>42</v>
      </c>
      <c r="H26">
        <v>8491</v>
      </c>
      <c r="I26" t="s">
        <v>55</v>
      </c>
      <c r="J26">
        <v>4.3</v>
      </c>
      <c r="K26">
        <v>4703</v>
      </c>
      <c r="L26">
        <v>0.22760834670947019</v>
      </c>
      <c r="M26" t="s">
        <v>18</v>
      </c>
    </row>
    <row r="27" spans="1:13" x14ac:dyDescent="0.3">
      <c r="A27" t="s">
        <v>74</v>
      </c>
      <c r="B27" t="s">
        <v>75</v>
      </c>
      <c r="C27" t="s">
        <v>44</v>
      </c>
      <c r="D27" t="s">
        <v>45</v>
      </c>
      <c r="E27">
        <v>699</v>
      </c>
      <c r="F27">
        <v>199</v>
      </c>
      <c r="G27">
        <v>72</v>
      </c>
      <c r="H27">
        <v>500</v>
      </c>
      <c r="I27" t="s">
        <v>17</v>
      </c>
      <c r="J27">
        <v>4.2</v>
      </c>
      <c r="K27">
        <v>12153</v>
      </c>
      <c r="L27">
        <v>0.20642230576441101</v>
      </c>
      <c r="M27" t="s">
        <v>18</v>
      </c>
    </row>
    <row r="28" spans="1:13" x14ac:dyDescent="0.3">
      <c r="A28" t="s">
        <v>76</v>
      </c>
      <c r="B28" t="s">
        <v>77</v>
      </c>
      <c r="C28" t="s">
        <v>44</v>
      </c>
      <c r="D28" t="s">
        <v>54</v>
      </c>
      <c r="E28">
        <v>19999</v>
      </c>
      <c r="F28">
        <v>14999</v>
      </c>
      <c r="G28">
        <v>25</v>
      </c>
      <c r="H28">
        <v>5000</v>
      </c>
      <c r="I28" t="s">
        <v>55</v>
      </c>
      <c r="J28">
        <v>4.2</v>
      </c>
      <c r="K28">
        <v>34899</v>
      </c>
      <c r="L28">
        <v>0.17133768315018311</v>
      </c>
      <c r="M28" t="s">
        <v>18</v>
      </c>
    </row>
    <row r="29" spans="1:13" x14ac:dyDescent="0.3">
      <c r="A29" t="s">
        <v>78</v>
      </c>
      <c r="B29" t="s">
        <v>79</v>
      </c>
      <c r="C29" t="s">
        <v>15</v>
      </c>
      <c r="D29" t="s">
        <v>16</v>
      </c>
      <c r="E29">
        <v>399</v>
      </c>
      <c r="F29">
        <v>299</v>
      </c>
      <c r="G29">
        <v>25</v>
      </c>
      <c r="H29">
        <v>100</v>
      </c>
      <c r="I29" t="s">
        <v>17</v>
      </c>
      <c r="J29">
        <v>4</v>
      </c>
      <c r="K29">
        <v>2766</v>
      </c>
      <c r="L29">
        <v>0.18476190476190471</v>
      </c>
      <c r="M29" t="s">
        <v>18</v>
      </c>
    </row>
    <row r="30" spans="1:13" x14ac:dyDescent="0.3">
      <c r="A30" t="s">
        <v>80</v>
      </c>
      <c r="B30" t="s">
        <v>81</v>
      </c>
      <c r="C30" t="s">
        <v>15</v>
      </c>
      <c r="D30" t="s">
        <v>16</v>
      </c>
      <c r="E30">
        <v>1999</v>
      </c>
      <c r="F30">
        <v>970</v>
      </c>
      <c r="G30">
        <v>51</v>
      </c>
      <c r="H30">
        <v>1029</v>
      </c>
      <c r="I30" t="s">
        <v>64</v>
      </c>
      <c r="J30">
        <v>4.4000000000000004</v>
      </c>
      <c r="K30">
        <v>184</v>
      </c>
      <c r="L30">
        <v>0.4260416666666666</v>
      </c>
      <c r="M30" t="s">
        <v>18</v>
      </c>
    </row>
    <row r="31" spans="1:13" x14ac:dyDescent="0.3">
      <c r="A31" t="s">
        <v>82</v>
      </c>
      <c r="B31" t="s">
        <v>83</v>
      </c>
      <c r="C31" t="s">
        <v>15</v>
      </c>
      <c r="D31" t="s">
        <v>16</v>
      </c>
      <c r="E31">
        <v>999</v>
      </c>
      <c r="F31">
        <v>299</v>
      </c>
      <c r="G31">
        <v>70</v>
      </c>
      <c r="H31">
        <v>700</v>
      </c>
      <c r="I31" t="s">
        <v>17</v>
      </c>
      <c r="J31">
        <v>4.3</v>
      </c>
      <c r="K31">
        <v>20850</v>
      </c>
      <c r="L31">
        <v>0.36069444444444437</v>
      </c>
      <c r="M31" t="s">
        <v>18</v>
      </c>
    </row>
    <row r="32" spans="1:13" x14ac:dyDescent="0.3">
      <c r="A32" t="s">
        <v>84</v>
      </c>
      <c r="B32" t="s">
        <v>85</v>
      </c>
      <c r="C32" t="s">
        <v>15</v>
      </c>
      <c r="D32" t="s">
        <v>16</v>
      </c>
      <c r="E32">
        <v>750</v>
      </c>
      <c r="F32">
        <v>199</v>
      </c>
      <c r="G32">
        <v>73</v>
      </c>
      <c r="H32">
        <v>551</v>
      </c>
      <c r="I32" t="s">
        <v>17</v>
      </c>
      <c r="J32">
        <v>4.5</v>
      </c>
      <c r="K32">
        <v>74976</v>
      </c>
      <c r="L32">
        <v>0.1986274509803922</v>
      </c>
      <c r="M32" t="s">
        <v>18</v>
      </c>
    </row>
    <row r="33" spans="1:13" x14ac:dyDescent="0.3">
      <c r="A33" t="s">
        <v>86</v>
      </c>
      <c r="B33" t="s">
        <v>87</v>
      </c>
      <c r="C33" t="s">
        <v>15</v>
      </c>
      <c r="D33" t="s">
        <v>16</v>
      </c>
      <c r="E33">
        <v>499</v>
      </c>
      <c r="F33">
        <v>179</v>
      </c>
      <c r="G33">
        <v>64</v>
      </c>
      <c r="H33">
        <v>320</v>
      </c>
      <c r="I33" t="s">
        <v>17</v>
      </c>
      <c r="J33">
        <v>4</v>
      </c>
      <c r="K33">
        <v>1934</v>
      </c>
      <c r="L33">
        <v>0.18425925925925921</v>
      </c>
      <c r="M33" t="s">
        <v>18</v>
      </c>
    </row>
    <row r="34" spans="1:13" x14ac:dyDescent="0.3">
      <c r="A34" t="s">
        <v>88</v>
      </c>
      <c r="B34" t="s">
        <v>89</v>
      </c>
      <c r="C34" t="s">
        <v>15</v>
      </c>
      <c r="D34" t="s">
        <v>16</v>
      </c>
      <c r="E34">
        <v>1099</v>
      </c>
      <c r="F34">
        <v>389</v>
      </c>
      <c r="G34">
        <v>65</v>
      </c>
      <c r="H34">
        <v>710</v>
      </c>
      <c r="I34" t="s">
        <v>17</v>
      </c>
      <c r="J34">
        <v>4.3</v>
      </c>
      <c r="K34">
        <v>974</v>
      </c>
      <c r="L34">
        <v>0.1592857142857142</v>
      </c>
      <c r="M34" t="s">
        <v>18</v>
      </c>
    </row>
    <row r="35" spans="1:13" x14ac:dyDescent="0.3">
      <c r="A35" t="s">
        <v>90</v>
      </c>
      <c r="B35" t="s">
        <v>91</v>
      </c>
      <c r="C35" t="s">
        <v>15</v>
      </c>
      <c r="D35" t="s">
        <v>16</v>
      </c>
      <c r="E35">
        <v>599</v>
      </c>
      <c r="F35">
        <v>599</v>
      </c>
      <c r="G35">
        <v>0</v>
      </c>
      <c r="H35">
        <v>0</v>
      </c>
      <c r="I35" t="s">
        <v>64</v>
      </c>
      <c r="J35">
        <v>4.3</v>
      </c>
      <c r="K35">
        <v>355</v>
      </c>
      <c r="L35">
        <v>0.34791666666666671</v>
      </c>
      <c r="M35" t="s">
        <v>18</v>
      </c>
    </row>
    <row r="36" spans="1:13" x14ac:dyDescent="0.3">
      <c r="A36" t="s">
        <v>92</v>
      </c>
      <c r="B36" t="s">
        <v>93</v>
      </c>
      <c r="C36" t="s">
        <v>15</v>
      </c>
      <c r="D36" t="s">
        <v>16</v>
      </c>
      <c r="E36">
        <v>999</v>
      </c>
      <c r="F36">
        <v>199</v>
      </c>
      <c r="G36">
        <v>80</v>
      </c>
      <c r="H36">
        <v>800</v>
      </c>
      <c r="I36" t="s">
        <v>17</v>
      </c>
      <c r="J36">
        <v>3.9</v>
      </c>
      <c r="K36">
        <v>1075</v>
      </c>
      <c r="L36">
        <v>0.17499999999999991</v>
      </c>
      <c r="M36" t="s">
        <v>18</v>
      </c>
    </row>
    <row r="37" spans="1:13" x14ac:dyDescent="0.3">
      <c r="A37" t="s">
        <v>94</v>
      </c>
      <c r="B37" t="s">
        <v>95</v>
      </c>
      <c r="C37" t="s">
        <v>15</v>
      </c>
      <c r="D37" t="s">
        <v>16</v>
      </c>
      <c r="E37">
        <v>666.66</v>
      </c>
      <c r="F37">
        <v>99</v>
      </c>
      <c r="G37">
        <v>85</v>
      </c>
      <c r="H37">
        <v>567.66</v>
      </c>
      <c r="I37" t="s">
        <v>17</v>
      </c>
      <c r="J37">
        <v>3.9</v>
      </c>
      <c r="K37">
        <v>24871</v>
      </c>
      <c r="L37">
        <v>0.48666666666666658</v>
      </c>
      <c r="M37" t="s">
        <v>18</v>
      </c>
    </row>
    <row r="38" spans="1:13" x14ac:dyDescent="0.3">
      <c r="A38" t="s">
        <v>96</v>
      </c>
      <c r="B38" t="s">
        <v>97</v>
      </c>
      <c r="C38" t="s">
        <v>15</v>
      </c>
      <c r="D38" t="s">
        <v>16</v>
      </c>
      <c r="E38">
        <v>1900</v>
      </c>
      <c r="F38">
        <v>899</v>
      </c>
      <c r="G38">
        <v>53</v>
      </c>
      <c r="H38">
        <v>1001</v>
      </c>
      <c r="I38" t="s">
        <v>64</v>
      </c>
      <c r="J38">
        <v>4.4000000000000004</v>
      </c>
      <c r="K38">
        <v>13552</v>
      </c>
      <c r="L38">
        <v>0.35102564102564099</v>
      </c>
      <c r="M38" t="s">
        <v>18</v>
      </c>
    </row>
    <row r="39" spans="1:13" x14ac:dyDescent="0.3">
      <c r="A39" t="s">
        <v>98</v>
      </c>
      <c r="B39" t="s">
        <v>99</v>
      </c>
      <c r="C39" t="s">
        <v>15</v>
      </c>
      <c r="D39" t="s">
        <v>16</v>
      </c>
      <c r="E39">
        <v>999</v>
      </c>
      <c r="F39">
        <v>199</v>
      </c>
      <c r="G39">
        <v>80</v>
      </c>
      <c r="H39">
        <v>800</v>
      </c>
      <c r="I39" t="s">
        <v>17</v>
      </c>
      <c r="J39">
        <v>4</v>
      </c>
      <c r="K39">
        <v>576</v>
      </c>
      <c r="L39">
        <v>0.3197368421052631</v>
      </c>
      <c r="M39" t="s">
        <v>18</v>
      </c>
    </row>
    <row r="40" spans="1:13" x14ac:dyDescent="0.3">
      <c r="A40" t="s">
        <v>100</v>
      </c>
      <c r="B40" t="s">
        <v>101</v>
      </c>
      <c r="C40" t="s">
        <v>44</v>
      </c>
      <c r="D40" t="s">
        <v>54</v>
      </c>
      <c r="E40">
        <v>45999</v>
      </c>
      <c r="F40">
        <v>32999</v>
      </c>
      <c r="G40">
        <v>28</v>
      </c>
      <c r="H40">
        <v>13000</v>
      </c>
      <c r="I40" t="s">
        <v>102</v>
      </c>
      <c r="J40">
        <v>4.2</v>
      </c>
      <c r="K40">
        <v>7298</v>
      </c>
      <c r="L40">
        <v>8.5027124773960197E-2</v>
      </c>
      <c r="M40" t="s">
        <v>103</v>
      </c>
    </row>
    <row r="41" spans="1:13" x14ac:dyDescent="0.3">
      <c r="A41" t="s">
        <v>104</v>
      </c>
      <c r="B41" t="s">
        <v>105</v>
      </c>
      <c r="C41" t="s">
        <v>15</v>
      </c>
      <c r="D41" t="s">
        <v>16</v>
      </c>
      <c r="E41">
        <v>1999</v>
      </c>
      <c r="F41">
        <v>970</v>
      </c>
      <c r="G41">
        <v>51</v>
      </c>
      <c r="H41">
        <v>1029</v>
      </c>
      <c r="I41" t="s">
        <v>64</v>
      </c>
      <c r="J41">
        <v>4.2</v>
      </c>
      <c r="K41">
        <v>462</v>
      </c>
      <c r="L41">
        <v>0.16436213991769549</v>
      </c>
      <c r="M41" t="s">
        <v>18</v>
      </c>
    </row>
    <row r="42" spans="1:13" x14ac:dyDescent="0.3">
      <c r="A42" t="s">
        <v>106</v>
      </c>
      <c r="B42" t="s">
        <v>107</v>
      </c>
      <c r="C42" t="s">
        <v>15</v>
      </c>
      <c r="D42" t="s">
        <v>16</v>
      </c>
      <c r="E42">
        <v>695</v>
      </c>
      <c r="F42">
        <v>209</v>
      </c>
      <c r="G42">
        <v>70</v>
      </c>
      <c r="H42">
        <v>486</v>
      </c>
      <c r="I42" t="s">
        <v>17</v>
      </c>
      <c r="J42">
        <v>4.5</v>
      </c>
      <c r="K42">
        <v>107687</v>
      </c>
      <c r="L42">
        <v>0.19923756798756789</v>
      </c>
      <c r="M42" t="s">
        <v>18</v>
      </c>
    </row>
    <row r="43" spans="1:13" x14ac:dyDescent="0.3">
      <c r="A43" t="s">
        <v>108</v>
      </c>
      <c r="B43" t="s">
        <v>109</v>
      </c>
      <c r="C43" t="s">
        <v>44</v>
      </c>
      <c r="D43" t="s">
        <v>54</v>
      </c>
      <c r="E43">
        <v>34999</v>
      </c>
      <c r="F43">
        <v>19999</v>
      </c>
      <c r="G43">
        <v>43</v>
      </c>
      <c r="H43">
        <v>15000</v>
      </c>
      <c r="I43" t="s">
        <v>55</v>
      </c>
      <c r="J43">
        <v>4.3</v>
      </c>
      <c r="K43">
        <v>27151</v>
      </c>
      <c r="L43">
        <v>0.14972757419097049</v>
      </c>
      <c r="M43" t="s">
        <v>18</v>
      </c>
    </row>
    <row r="44" spans="1:13" x14ac:dyDescent="0.3">
      <c r="A44" t="s">
        <v>110</v>
      </c>
      <c r="B44" t="s">
        <v>111</v>
      </c>
      <c r="C44" t="s">
        <v>15</v>
      </c>
      <c r="D44" t="s">
        <v>16</v>
      </c>
      <c r="E44">
        <v>1099</v>
      </c>
      <c r="F44">
        <v>399</v>
      </c>
      <c r="G44">
        <v>64</v>
      </c>
      <c r="H44">
        <v>700</v>
      </c>
      <c r="I44" t="s">
        <v>17</v>
      </c>
      <c r="J44">
        <v>4.2</v>
      </c>
      <c r="K44">
        <v>24269</v>
      </c>
      <c r="L44">
        <v>0.4819444444444444</v>
      </c>
      <c r="M44" t="s">
        <v>18</v>
      </c>
    </row>
    <row r="45" spans="1:13" x14ac:dyDescent="0.3">
      <c r="A45" t="s">
        <v>112</v>
      </c>
      <c r="B45" t="s">
        <v>113</v>
      </c>
      <c r="C45" t="s">
        <v>15</v>
      </c>
      <c r="D45" t="s">
        <v>35</v>
      </c>
      <c r="E45">
        <v>1599</v>
      </c>
      <c r="F45">
        <v>999</v>
      </c>
      <c r="G45">
        <v>38</v>
      </c>
      <c r="H45">
        <v>600</v>
      </c>
      <c r="I45" t="s">
        <v>64</v>
      </c>
      <c r="J45">
        <v>4.3</v>
      </c>
      <c r="K45">
        <v>12093</v>
      </c>
      <c r="L45">
        <v>0.28950216450216448</v>
      </c>
      <c r="M45" t="s">
        <v>18</v>
      </c>
    </row>
    <row r="46" spans="1:13" x14ac:dyDescent="0.3">
      <c r="A46" t="s">
        <v>114</v>
      </c>
      <c r="B46" t="s">
        <v>115</v>
      </c>
      <c r="C46" t="s">
        <v>15</v>
      </c>
      <c r="D46" t="s">
        <v>16</v>
      </c>
      <c r="E46">
        <v>199</v>
      </c>
      <c r="F46">
        <v>59</v>
      </c>
      <c r="G46">
        <v>70</v>
      </c>
      <c r="H46">
        <v>140</v>
      </c>
      <c r="I46" t="s">
        <v>17</v>
      </c>
      <c r="J46">
        <v>4</v>
      </c>
      <c r="K46">
        <v>9378</v>
      </c>
      <c r="L46">
        <v>0.47333333333333327</v>
      </c>
      <c r="M46" t="s">
        <v>18</v>
      </c>
    </row>
    <row r="47" spans="1:13" x14ac:dyDescent="0.3">
      <c r="A47" t="s">
        <v>116</v>
      </c>
      <c r="B47" t="s">
        <v>117</v>
      </c>
      <c r="C47" t="s">
        <v>15</v>
      </c>
      <c r="D47" t="s">
        <v>16</v>
      </c>
      <c r="E47">
        <v>999</v>
      </c>
      <c r="F47">
        <v>333</v>
      </c>
      <c r="G47">
        <v>67</v>
      </c>
      <c r="H47">
        <v>666</v>
      </c>
      <c r="I47" t="s">
        <v>17</v>
      </c>
      <c r="J47">
        <v>3.3</v>
      </c>
      <c r="K47">
        <v>9792</v>
      </c>
      <c r="L47">
        <v>5.3354978354978301E-2</v>
      </c>
      <c r="M47" t="s">
        <v>103</v>
      </c>
    </row>
    <row r="48" spans="1:13" x14ac:dyDescent="0.3">
      <c r="A48" t="s">
        <v>118</v>
      </c>
      <c r="B48" t="s">
        <v>119</v>
      </c>
      <c r="C48" t="s">
        <v>15</v>
      </c>
      <c r="D48" t="s">
        <v>35</v>
      </c>
      <c r="E48">
        <v>1208</v>
      </c>
      <c r="F48">
        <v>507</v>
      </c>
      <c r="G48">
        <v>58</v>
      </c>
      <c r="H48">
        <v>701</v>
      </c>
      <c r="I48" t="s">
        <v>64</v>
      </c>
      <c r="J48">
        <v>4.0999999999999996</v>
      </c>
      <c r="K48">
        <v>8131</v>
      </c>
      <c r="L48">
        <v>0.29062499999999991</v>
      </c>
      <c r="M48" t="s">
        <v>18</v>
      </c>
    </row>
    <row r="49" spans="1:13" x14ac:dyDescent="0.3">
      <c r="A49" t="s">
        <v>120</v>
      </c>
      <c r="B49" t="s">
        <v>121</v>
      </c>
      <c r="C49" t="s">
        <v>44</v>
      </c>
      <c r="D49" t="s">
        <v>45</v>
      </c>
      <c r="E49">
        <v>475</v>
      </c>
      <c r="F49">
        <v>309</v>
      </c>
      <c r="G49">
        <v>35</v>
      </c>
      <c r="H49">
        <v>166</v>
      </c>
      <c r="I49" t="s">
        <v>17</v>
      </c>
      <c r="J49">
        <v>4.4000000000000004</v>
      </c>
      <c r="K49">
        <v>426973</v>
      </c>
      <c r="L49">
        <v>0.3747899159663865</v>
      </c>
      <c r="M49" t="s">
        <v>18</v>
      </c>
    </row>
    <row r="50" spans="1:13" x14ac:dyDescent="0.3">
      <c r="A50" t="s">
        <v>122</v>
      </c>
      <c r="B50" t="s">
        <v>123</v>
      </c>
      <c r="C50" t="s">
        <v>44</v>
      </c>
      <c r="D50" t="s">
        <v>124</v>
      </c>
      <c r="E50">
        <v>999</v>
      </c>
      <c r="F50">
        <v>399</v>
      </c>
      <c r="G50">
        <v>60</v>
      </c>
      <c r="H50">
        <v>600</v>
      </c>
      <c r="I50" t="s">
        <v>17</v>
      </c>
      <c r="J50">
        <v>3.6</v>
      </c>
      <c r="K50">
        <v>493</v>
      </c>
      <c r="L50">
        <v>0.22887445887445881</v>
      </c>
      <c r="M50" t="s">
        <v>18</v>
      </c>
    </row>
    <row r="51" spans="1:13" x14ac:dyDescent="0.3">
      <c r="A51" t="s">
        <v>125</v>
      </c>
      <c r="B51" t="s">
        <v>126</v>
      </c>
      <c r="C51" t="s">
        <v>15</v>
      </c>
      <c r="D51" t="s">
        <v>16</v>
      </c>
      <c r="E51">
        <v>395</v>
      </c>
      <c r="F51">
        <v>199</v>
      </c>
      <c r="G51">
        <v>50</v>
      </c>
      <c r="H51">
        <v>196</v>
      </c>
      <c r="I51" t="s">
        <v>17</v>
      </c>
      <c r="J51">
        <v>4.2</v>
      </c>
      <c r="K51">
        <v>92595</v>
      </c>
      <c r="L51">
        <v>0.1649142462475795</v>
      </c>
      <c r="M51" t="s">
        <v>18</v>
      </c>
    </row>
    <row r="52" spans="1:13" x14ac:dyDescent="0.3">
      <c r="A52" t="s">
        <v>127</v>
      </c>
      <c r="B52" t="s">
        <v>128</v>
      </c>
      <c r="C52" t="s">
        <v>15</v>
      </c>
      <c r="D52" t="s">
        <v>35</v>
      </c>
      <c r="E52">
        <v>2199</v>
      </c>
      <c r="F52">
        <v>1199</v>
      </c>
      <c r="G52">
        <v>45</v>
      </c>
      <c r="H52">
        <v>1000</v>
      </c>
      <c r="I52" t="s">
        <v>64</v>
      </c>
      <c r="J52">
        <v>4.4000000000000004</v>
      </c>
      <c r="K52">
        <v>24780</v>
      </c>
      <c r="L52">
        <v>0.1981968641114982</v>
      </c>
      <c r="M52" t="s">
        <v>18</v>
      </c>
    </row>
    <row r="53" spans="1:13" x14ac:dyDescent="0.3">
      <c r="A53" t="s">
        <v>129</v>
      </c>
      <c r="B53" t="s">
        <v>130</v>
      </c>
      <c r="C53" t="s">
        <v>15</v>
      </c>
      <c r="D53" t="s">
        <v>16</v>
      </c>
      <c r="E53">
        <v>500</v>
      </c>
      <c r="F53">
        <v>179</v>
      </c>
      <c r="G53">
        <v>64</v>
      </c>
      <c r="H53">
        <v>321</v>
      </c>
      <c r="I53" t="s">
        <v>17</v>
      </c>
      <c r="J53">
        <v>4.2</v>
      </c>
      <c r="K53">
        <v>92595</v>
      </c>
      <c r="L53">
        <v>0.1649142462475795</v>
      </c>
      <c r="M53" t="s">
        <v>18</v>
      </c>
    </row>
    <row r="54" spans="1:13" x14ac:dyDescent="0.3">
      <c r="A54" t="s">
        <v>131</v>
      </c>
      <c r="B54" t="s">
        <v>132</v>
      </c>
      <c r="C54" t="s">
        <v>15</v>
      </c>
      <c r="D54" t="s">
        <v>16</v>
      </c>
      <c r="E54">
        <v>2100</v>
      </c>
      <c r="F54">
        <v>799</v>
      </c>
      <c r="G54">
        <v>62</v>
      </c>
      <c r="H54">
        <v>1301</v>
      </c>
      <c r="I54" t="s">
        <v>64</v>
      </c>
      <c r="J54">
        <v>4.3</v>
      </c>
      <c r="K54">
        <v>8188</v>
      </c>
      <c r="L54">
        <v>0.29015151515151522</v>
      </c>
      <c r="M54" t="s">
        <v>18</v>
      </c>
    </row>
    <row r="55" spans="1:13" x14ac:dyDescent="0.3">
      <c r="A55" t="s">
        <v>133</v>
      </c>
      <c r="B55" t="s">
        <v>134</v>
      </c>
      <c r="C55" t="s">
        <v>44</v>
      </c>
      <c r="D55" t="s">
        <v>135</v>
      </c>
      <c r="E55">
        <v>12999</v>
      </c>
      <c r="F55">
        <v>6999</v>
      </c>
      <c r="G55">
        <v>46</v>
      </c>
      <c r="H55">
        <v>6000</v>
      </c>
      <c r="I55" t="s">
        <v>55</v>
      </c>
      <c r="J55">
        <v>4.2</v>
      </c>
      <c r="K55">
        <v>4003</v>
      </c>
      <c r="L55">
        <v>0.19174174174174169</v>
      </c>
      <c r="M55" t="s">
        <v>18</v>
      </c>
    </row>
    <row r="56" spans="1:13" x14ac:dyDescent="0.3">
      <c r="A56" t="s">
        <v>136</v>
      </c>
      <c r="B56" t="s">
        <v>137</v>
      </c>
      <c r="C56" t="s">
        <v>15</v>
      </c>
      <c r="D56" t="s">
        <v>16</v>
      </c>
      <c r="E56">
        <v>349</v>
      </c>
      <c r="F56">
        <v>199</v>
      </c>
      <c r="G56">
        <v>43</v>
      </c>
      <c r="H56">
        <v>150</v>
      </c>
      <c r="I56" t="s">
        <v>17</v>
      </c>
      <c r="J56">
        <v>4.0999999999999996</v>
      </c>
      <c r="K56">
        <v>314</v>
      </c>
      <c r="L56">
        <v>0.22288888888888889</v>
      </c>
      <c r="M56" t="s">
        <v>18</v>
      </c>
    </row>
    <row r="57" spans="1:13" x14ac:dyDescent="0.3">
      <c r="A57" t="s">
        <v>138</v>
      </c>
      <c r="B57" t="s">
        <v>139</v>
      </c>
      <c r="C57" t="s">
        <v>44</v>
      </c>
      <c r="D57" t="s">
        <v>124</v>
      </c>
      <c r="E57">
        <v>499</v>
      </c>
      <c r="F57">
        <v>230</v>
      </c>
      <c r="G57">
        <v>54</v>
      </c>
      <c r="H57">
        <v>269</v>
      </c>
      <c r="I57" t="s">
        <v>17</v>
      </c>
      <c r="J57">
        <v>3.7</v>
      </c>
      <c r="K57">
        <v>2960</v>
      </c>
      <c r="L57">
        <v>0.1265873015873015</v>
      </c>
      <c r="M57" t="s">
        <v>18</v>
      </c>
    </row>
    <row r="58" spans="1:13" x14ac:dyDescent="0.3">
      <c r="A58" t="s">
        <v>140</v>
      </c>
      <c r="B58" t="s">
        <v>141</v>
      </c>
      <c r="C58" t="s">
        <v>15</v>
      </c>
      <c r="D58" t="s">
        <v>35</v>
      </c>
      <c r="E58">
        <v>1399</v>
      </c>
      <c r="F58">
        <v>649</v>
      </c>
      <c r="G58">
        <v>54</v>
      </c>
      <c r="H58">
        <v>750</v>
      </c>
      <c r="I58" t="s">
        <v>64</v>
      </c>
      <c r="J58">
        <v>4.2</v>
      </c>
      <c r="K58">
        <v>179691</v>
      </c>
      <c r="L58">
        <v>0.27894067135050737</v>
      </c>
      <c r="M58" t="s">
        <v>18</v>
      </c>
    </row>
    <row r="59" spans="1:13" x14ac:dyDescent="0.3">
      <c r="A59" t="s">
        <v>142</v>
      </c>
      <c r="B59" t="s">
        <v>143</v>
      </c>
      <c r="C59" t="s">
        <v>44</v>
      </c>
      <c r="D59" t="s">
        <v>54</v>
      </c>
      <c r="E59">
        <v>21999</v>
      </c>
      <c r="F59">
        <v>15999</v>
      </c>
      <c r="G59">
        <v>27</v>
      </c>
      <c r="H59">
        <v>6000</v>
      </c>
      <c r="I59" t="s">
        <v>55</v>
      </c>
      <c r="J59">
        <v>4.2</v>
      </c>
      <c r="K59">
        <v>34899</v>
      </c>
      <c r="L59">
        <v>0.17133768315018311</v>
      </c>
      <c r="M59" t="s">
        <v>18</v>
      </c>
    </row>
    <row r="60" spans="1:13" x14ac:dyDescent="0.3">
      <c r="A60" t="s">
        <v>144</v>
      </c>
      <c r="B60" t="s">
        <v>145</v>
      </c>
      <c r="C60" t="s">
        <v>15</v>
      </c>
      <c r="D60" t="s">
        <v>16</v>
      </c>
      <c r="E60">
        <v>1499</v>
      </c>
      <c r="F60">
        <v>348</v>
      </c>
      <c r="G60">
        <v>77</v>
      </c>
      <c r="H60">
        <v>1151</v>
      </c>
      <c r="I60" t="s">
        <v>17</v>
      </c>
      <c r="J60">
        <v>4.2</v>
      </c>
      <c r="K60">
        <v>656</v>
      </c>
      <c r="L60">
        <v>0.1296527777777777</v>
      </c>
      <c r="M60" t="s">
        <v>18</v>
      </c>
    </row>
    <row r="61" spans="1:13" x14ac:dyDescent="0.3">
      <c r="A61" t="s">
        <v>146</v>
      </c>
      <c r="B61" t="s">
        <v>147</v>
      </c>
      <c r="C61" t="s">
        <v>15</v>
      </c>
      <c r="D61" t="s">
        <v>16</v>
      </c>
      <c r="E61">
        <v>349</v>
      </c>
      <c r="F61">
        <v>154</v>
      </c>
      <c r="G61">
        <v>56</v>
      </c>
      <c r="H61">
        <v>195</v>
      </c>
      <c r="I61" t="s">
        <v>17</v>
      </c>
      <c r="J61">
        <v>4.3</v>
      </c>
      <c r="K61">
        <v>7064</v>
      </c>
      <c r="L61">
        <v>0.3444444444444445</v>
      </c>
      <c r="M61" t="s">
        <v>18</v>
      </c>
    </row>
    <row r="62" spans="1:13" x14ac:dyDescent="0.3">
      <c r="A62" t="s">
        <v>148</v>
      </c>
      <c r="B62" t="s">
        <v>149</v>
      </c>
      <c r="C62" t="s">
        <v>44</v>
      </c>
      <c r="D62" t="s">
        <v>124</v>
      </c>
      <c r="E62">
        <v>799</v>
      </c>
      <c r="F62">
        <v>179</v>
      </c>
      <c r="G62">
        <v>78</v>
      </c>
      <c r="H62">
        <v>620</v>
      </c>
      <c r="I62" t="s">
        <v>17</v>
      </c>
      <c r="J62">
        <v>3.7</v>
      </c>
      <c r="K62">
        <v>2201</v>
      </c>
      <c r="L62">
        <v>0.1422843822843822</v>
      </c>
      <c r="M62" t="s">
        <v>18</v>
      </c>
    </row>
    <row r="63" spans="1:13" x14ac:dyDescent="0.3">
      <c r="A63" t="s">
        <v>150</v>
      </c>
      <c r="B63" t="s">
        <v>151</v>
      </c>
      <c r="C63" t="s">
        <v>44</v>
      </c>
      <c r="D63" t="s">
        <v>54</v>
      </c>
      <c r="E63">
        <v>47900</v>
      </c>
      <c r="F63">
        <v>32990</v>
      </c>
      <c r="G63">
        <v>31</v>
      </c>
      <c r="H63">
        <v>14910</v>
      </c>
      <c r="I63" t="s">
        <v>102</v>
      </c>
      <c r="J63">
        <v>4.3</v>
      </c>
      <c r="K63">
        <v>7109</v>
      </c>
      <c r="L63">
        <v>0.1728298861632194</v>
      </c>
      <c r="M63" t="s">
        <v>18</v>
      </c>
    </row>
    <row r="64" spans="1:13" x14ac:dyDescent="0.3">
      <c r="A64" t="s">
        <v>152</v>
      </c>
      <c r="B64" t="s">
        <v>153</v>
      </c>
      <c r="C64" t="s">
        <v>15</v>
      </c>
      <c r="D64" t="s">
        <v>16</v>
      </c>
      <c r="E64">
        <v>999</v>
      </c>
      <c r="F64">
        <v>139</v>
      </c>
      <c r="G64">
        <v>86</v>
      </c>
      <c r="H64">
        <v>860</v>
      </c>
      <c r="I64" t="s">
        <v>17</v>
      </c>
      <c r="J64">
        <v>4</v>
      </c>
      <c r="K64">
        <v>1313</v>
      </c>
      <c r="L64">
        <v>0.17765151515151509</v>
      </c>
      <c r="M64" t="s">
        <v>18</v>
      </c>
    </row>
    <row r="65" spans="1:13" x14ac:dyDescent="0.3">
      <c r="A65" t="s">
        <v>154</v>
      </c>
      <c r="B65" t="s">
        <v>155</v>
      </c>
      <c r="C65" t="s">
        <v>15</v>
      </c>
      <c r="D65" t="s">
        <v>16</v>
      </c>
      <c r="E65">
        <v>845</v>
      </c>
      <c r="F65">
        <v>329</v>
      </c>
      <c r="G65">
        <v>61</v>
      </c>
      <c r="H65">
        <v>516</v>
      </c>
      <c r="I65" t="s">
        <v>17</v>
      </c>
      <c r="J65">
        <v>4.2</v>
      </c>
      <c r="K65">
        <v>29746</v>
      </c>
      <c r="L65">
        <v>0.40330578512396698</v>
      </c>
      <c r="M65" t="s">
        <v>18</v>
      </c>
    </row>
    <row r="66" spans="1:13" x14ac:dyDescent="0.3">
      <c r="A66" t="s">
        <v>156</v>
      </c>
      <c r="B66" t="s">
        <v>157</v>
      </c>
      <c r="C66" t="s">
        <v>44</v>
      </c>
      <c r="D66" t="s">
        <v>54</v>
      </c>
      <c r="E66">
        <v>24999</v>
      </c>
      <c r="F66">
        <v>13999</v>
      </c>
      <c r="G66">
        <v>44</v>
      </c>
      <c r="H66">
        <v>11000</v>
      </c>
      <c r="I66" t="s">
        <v>55</v>
      </c>
      <c r="J66">
        <v>4.2</v>
      </c>
      <c r="K66">
        <v>45238</v>
      </c>
      <c r="L66">
        <v>0.2229666666666667</v>
      </c>
      <c r="M66" t="s">
        <v>18</v>
      </c>
    </row>
    <row r="67" spans="1:13" x14ac:dyDescent="0.3">
      <c r="A67" t="s">
        <v>158</v>
      </c>
      <c r="B67" t="s">
        <v>159</v>
      </c>
      <c r="C67" t="s">
        <v>44</v>
      </c>
      <c r="D67" t="s">
        <v>45</v>
      </c>
      <c r="E67">
        <v>1400</v>
      </c>
      <c r="F67">
        <v>309</v>
      </c>
      <c r="G67">
        <v>78</v>
      </c>
      <c r="H67">
        <v>1091</v>
      </c>
      <c r="I67" t="s">
        <v>17</v>
      </c>
      <c r="J67">
        <v>4.4000000000000004</v>
      </c>
      <c r="K67">
        <v>426973</v>
      </c>
      <c r="L67">
        <v>0.3747899159663865</v>
      </c>
      <c r="M67" t="s">
        <v>18</v>
      </c>
    </row>
    <row r="68" spans="1:13" x14ac:dyDescent="0.3">
      <c r="A68" t="s">
        <v>160</v>
      </c>
      <c r="B68" t="s">
        <v>161</v>
      </c>
      <c r="C68" t="s">
        <v>15</v>
      </c>
      <c r="D68" t="s">
        <v>16</v>
      </c>
      <c r="E68">
        <v>699</v>
      </c>
      <c r="F68">
        <v>263</v>
      </c>
      <c r="G68">
        <v>62</v>
      </c>
      <c r="H68">
        <v>436</v>
      </c>
      <c r="I68" t="s">
        <v>17</v>
      </c>
      <c r="J68">
        <v>4.0999999999999996</v>
      </c>
      <c r="K68">
        <v>450</v>
      </c>
      <c r="L68">
        <v>0.35343137254901968</v>
      </c>
      <c r="M68" t="s">
        <v>18</v>
      </c>
    </row>
    <row r="69" spans="1:13" x14ac:dyDescent="0.3">
      <c r="A69" t="s">
        <v>162</v>
      </c>
      <c r="B69" t="s">
        <v>163</v>
      </c>
      <c r="C69" t="s">
        <v>44</v>
      </c>
      <c r="D69" t="s">
        <v>135</v>
      </c>
      <c r="E69">
        <v>14990</v>
      </c>
      <c r="F69">
        <v>7999</v>
      </c>
      <c r="G69">
        <v>47</v>
      </c>
      <c r="H69">
        <v>6991</v>
      </c>
      <c r="I69" t="s">
        <v>55</v>
      </c>
      <c r="J69">
        <v>4.3</v>
      </c>
      <c r="K69">
        <v>457</v>
      </c>
      <c r="L69">
        <v>0.30436666666666667</v>
      </c>
      <c r="M69" t="s">
        <v>18</v>
      </c>
    </row>
    <row r="70" spans="1:13" x14ac:dyDescent="0.3">
      <c r="A70" t="s">
        <v>164</v>
      </c>
      <c r="B70" t="s">
        <v>165</v>
      </c>
      <c r="C70" t="s">
        <v>44</v>
      </c>
      <c r="D70" t="s">
        <v>166</v>
      </c>
      <c r="E70">
        <v>2999</v>
      </c>
      <c r="F70">
        <v>1599</v>
      </c>
      <c r="G70">
        <v>47</v>
      </c>
      <c r="H70">
        <v>1400</v>
      </c>
      <c r="I70" t="s">
        <v>167</v>
      </c>
      <c r="J70">
        <v>4.2</v>
      </c>
      <c r="K70">
        <v>2727</v>
      </c>
      <c r="L70">
        <v>0.35916666666666669</v>
      </c>
      <c r="M70" t="s">
        <v>18</v>
      </c>
    </row>
    <row r="71" spans="1:13" x14ac:dyDescent="0.3">
      <c r="A71" t="s">
        <v>168</v>
      </c>
      <c r="B71" t="s">
        <v>169</v>
      </c>
      <c r="C71" t="s">
        <v>15</v>
      </c>
      <c r="D71" t="s">
        <v>16</v>
      </c>
      <c r="E71">
        <v>700</v>
      </c>
      <c r="F71">
        <v>219</v>
      </c>
      <c r="G71">
        <v>69</v>
      </c>
      <c r="H71">
        <v>481</v>
      </c>
      <c r="I71" t="s">
        <v>17</v>
      </c>
      <c r="J71">
        <v>4.3</v>
      </c>
      <c r="K71">
        <v>20053</v>
      </c>
      <c r="L71">
        <v>0.2417948717948718</v>
      </c>
      <c r="M71" t="s">
        <v>18</v>
      </c>
    </row>
    <row r="72" spans="1:13" x14ac:dyDescent="0.3">
      <c r="A72" t="s">
        <v>170</v>
      </c>
      <c r="B72" t="s">
        <v>171</v>
      </c>
      <c r="C72" t="s">
        <v>15</v>
      </c>
      <c r="D72" t="s">
        <v>16</v>
      </c>
      <c r="E72">
        <v>899</v>
      </c>
      <c r="F72">
        <v>349</v>
      </c>
      <c r="G72">
        <v>61</v>
      </c>
      <c r="H72">
        <v>550</v>
      </c>
      <c r="I72" t="s">
        <v>17</v>
      </c>
      <c r="J72">
        <v>4.5</v>
      </c>
      <c r="K72">
        <v>149</v>
      </c>
      <c r="L72">
        <v>0.1685416666666667</v>
      </c>
      <c r="M72" t="s">
        <v>18</v>
      </c>
    </row>
    <row r="73" spans="1:13" x14ac:dyDescent="0.3">
      <c r="A73" t="s">
        <v>172</v>
      </c>
      <c r="B73" t="s">
        <v>173</v>
      </c>
      <c r="C73" t="s">
        <v>15</v>
      </c>
      <c r="D73" t="s">
        <v>16</v>
      </c>
      <c r="E73">
        <v>599</v>
      </c>
      <c r="F73">
        <v>349</v>
      </c>
      <c r="G73">
        <v>42</v>
      </c>
      <c r="H73">
        <v>250</v>
      </c>
      <c r="I73" t="s">
        <v>17</v>
      </c>
      <c r="J73">
        <v>4.0999999999999996</v>
      </c>
      <c r="K73">
        <v>210</v>
      </c>
      <c r="L73">
        <v>0.41794871794871802</v>
      </c>
      <c r="M73" t="s">
        <v>18</v>
      </c>
    </row>
    <row r="74" spans="1:13" x14ac:dyDescent="0.3">
      <c r="A74" t="s">
        <v>174</v>
      </c>
      <c r="B74" t="s">
        <v>175</v>
      </c>
      <c r="C74" t="s">
        <v>44</v>
      </c>
      <c r="D74" t="s">
        <v>54</v>
      </c>
      <c r="E74">
        <v>42999</v>
      </c>
      <c r="F74">
        <v>26999</v>
      </c>
      <c r="G74">
        <v>37</v>
      </c>
      <c r="H74">
        <v>16000</v>
      </c>
      <c r="I74" t="s">
        <v>102</v>
      </c>
      <c r="J74">
        <v>4.2</v>
      </c>
      <c r="K74">
        <v>45238</v>
      </c>
      <c r="L74">
        <v>0.2229666666666667</v>
      </c>
      <c r="M74" t="s">
        <v>18</v>
      </c>
    </row>
    <row r="75" spans="1:13" x14ac:dyDescent="0.3">
      <c r="A75" t="s">
        <v>176</v>
      </c>
      <c r="B75" t="s">
        <v>177</v>
      </c>
      <c r="C75" t="s">
        <v>15</v>
      </c>
      <c r="D75" t="s">
        <v>16</v>
      </c>
      <c r="E75">
        <v>499</v>
      </c>
      <c r="F75">
        <v>115</v>
      </c>
      <c r="G75">
        <v>77</v>
      </c>
      <c r="H75">
        <v>384</v>
      </c>
      <c r="I75" t="s">
        <v>17</v>
      </c>
      <c r="J75">
        <v>4</v>
      </c>
      <c r="K75">
        <v>7732</v>
      </c>
      <c r="L75">
        <v>0.30989583333333331</v>
      </c>
      <c r="M75" t="s">
        <v>18</v>
      </c>
    </row>
    <row r="76" spans="1:13" x14ac:dyDescent="0.3">
      <c r="A76" t="s">
        <v>178</v>
      </c>
      <c r="B76" t="s">
        <v>179</v>
      </c>
      <c r="C76" t="s">
        <v>15</v>
      </c>
      <c r="D76" t="s">
        <v>16</v>
      </c>
      <c r="E76">
        <v>999</v>
      </c>
      <c r="F76">
        <v>399</v>
      </c>
      <c r="G76">
        <v>60</v>
      </c>
      <c r="H76">
        <v>600</v>
      </c>
      <c r="I76" t="s">
        <v>17</v>
      </c>
      <c r="J76">
        <v>4.0999999999999996</v>
      </c>
      <c r="K76">
        <v>1780</v>
      </c>
      <c r="L76">
        <v>0.2539879931389365</v>
      </c>
      <c r="M76" t="s">
        <v>18</v>
      </c>
    </row>
    <row r="77" spans="1:13" x14ac:dyDescent="0.3">
      <c r="A77" t="s">
        <v>180</v>
      </c>
      <c r="B77" t="s">
        <v>181</v>
      </c>
      <c r="C77" t="s">
        <v>15</v>
      </c>
      <c r="D77" t="s">
        <v>16</v>
      </c>
      <c r="E77">
        <v>499</v>
      </c>
      <c r="F77">
        <v>199</v>
      </c>
      <c r="G77">
        <v>60</v>
      </c>
      <c r="H77">
        <v>300</v>
      </c>
      <c r="I77" t="s">
        <v>17</v>
      </c>
      <c r="J77">
        <v>4.0999999999999996</v>
      </c>
      <c r="K77">
        <v>602</v>
      </c>
      <c r="L77">
        <v>0.2351904761904762</v>
      </c>
      <c r="M77" t="s">
        <v>18</v>
      </c>
    </row>
    <row r="78" spans="1:13" x14ac:dyDescent="0.3">
      <c r="A78" t="s">
        <v>182</v>
      </c>
      <c r="B78" t="s">
        <v>183</v>
      </c>
      <c r="C78" t="s">
        <v>15</v>
      </c>
      <c r="D78" t="s">
        <v>16</v>
      </c>
      <c r="E78">
        <v>399</v>
      </c>
      <c r="F78">
        <v>179</v>
      </c>
      <c r="G78">
        <v>55</v>
      </c>
      <c r="H78">
        <v>220</v>
      </c>
      <c r="I78" t="s">
        <v>17</v>
      </c>
      <c r="J78">
        <v>4</v>
      </c>
      <c r="K78">
        <v>1423</v>
      </c>
      <c r="L78">
        <v>0.3668749999999999</v>
      </c>
      <c r="M78" t="s">
        <v>18</v>
      </c>
    </row>
    <row r="79" spans="1:13" x14ac:dyDescent="0.3">
      <c r="A79" t="s">
        <v>184</v>
      </c>
      <c r="B79" t="s">
        <v>185</v>
      </c>
      <c r="C79" t="s">
        <v>44</v>
      </c>
      <c r="D79" t="s">
        <v>54</v>
      </c>
      <c r="E79">
        <v>30990</v>
      </c>
      <c r="F79">
        <v>10901</v>
      </c>
      <c r="G79">
        <v>65</v>
      </c>
      <c r="H79">
        <v>20089</v>
      </c>
      <c r="I79" t="s">
        <v>55</v>
      </c>
      <c r="J79">
        <v>4.0999999999999996</v>
      </c>
      <c r="K79">
        <v>398</v>
      </c>
      <c r="L79">
        <v>0.31099999999999989</v>
      </c>
      <c r="M79" t="s">
        <v>18</v>
      </c>
    </row>
    <row r="80" spans="1:13" x14ac:dyDescent="0.3">
      <c r="A80" t="s">
        <v>186</v>
      </c>
      <c r="B80" t="s">
        <v>187</v>
      </c>
      <c r="C80" t="s">
        <v>15</v>
      </c>
      <c r="D80" t="s">
        <v>16</v>
      </c>
      <c r="E80">
        <v>499</v>
      </c>
      <c r="F80">
        <v>209</v>
      </c>
      <c r="G80">
        <v>58</v>
      </c>
      <c r="H80">
        <v>290</v>
      </c>
      <c r="I80" t="s">
        <v>17</v>
      </c>
      <c r="J80">
        <v>3.9</v>
      </c>
      <c r="K80">
        <v>536</v>
      </c>
      <c r="L80">
        <v>0.43333333333333329</v>
      </c>
      <c r="M80" t="s">
        <v>18</v>
      </c>
    </row>
    <row r="81" spans="1:13" x14ac:dyDescent="0.3">
      <c r="A81" t="s">
        <v>188</v>
      </c>
      <c r="B81" t="s">
        <v>189</v>
      </c>
      <c r="C81" t="s">
        <v>44</v>
      </c>
      <c r="D81" t="s">
        <v>124</v>
      </c>
      <c r="E81">
        <v>3999</v>
      </c>
      <c r="F81">
        <v>1434</v>
      </c>
      <c r="G81">
        <v>64</v>
      </c>
      <c r="H81">
        <v>2565</v>
      </c>
      <c r="I81" t="s">
        <v>64</v>
      </c>
      <c r="J81">
        <v>4</v>
      </c>
      <c r="K81">
        <v>32</v>
      </c>
      <c r="L81">
        <v>0.2288119834710744</v>
      </c>
      <c r="M81" t="s">
        <v>18</v>
      </c>
    </row>
    <row r="82" spans="1:13" x14ac:dyDescent="0.3">
      <c r="A82" t="s">
        <v>190</v>
      </c>
      <c r="B82" t="s">
        <v>191</v>
      </c>
      <c r="C82" t="s">
        <v>15</v>
      </c>
      <c r="D82" t="s">
        <v>16</v>
      </c>
      <c r="E82">
        <v>1099</v>
      </c>
      <c r="F82">
        <v>399</v>
      </c>
      <c r="G82">
        <v>64</v>
      </c>
      <c r="H82">
        <v>700</v>
      </c>
      <c r="I82" t="s">
        <v>17</v>
      </c>
      <c r="J82">
        <v>4.2</v>
      </c>
      <c r="K82">
        <v>24269</v>
      </c>
      <c r="L82">
        <v>0.4819444444444444</v>
      </c>
      <c r="M82" t="s">
        <v>18</v>
      </c>
    </row>
    <row r="83" spans="1:13" x14ac:dyDescent="0.3">
      <c r="A83" t="s">
        <v>192</v>
      </c>
      <c r="B83" t="s">
        <v>193</v>
      </c>
      <c r="C83" t="s">
        <v>15</v>
      </c>
      <c r="D83" t="s">
        <v>16</v>
      </c>
      <c r="E83">
        <v>249</v>
      </c>
      <c r="F83">
        <v>139</v>
      </c>
      <c r="G83">
        <v>44</v>
      </c>
      <c r="H83">
        <v>110</v>
      </c>
      <c r="I83" t="s">
        <v>17</v>
      </c>
      <c r="J83">
        <v>4</v>
      </c>
      <c r="K83">
        <v>9378</v>
      </c>
      <c r="L83">
        <v>0.47333333333333327</v>
      </c>
      <c r="M83" t="s">
        <v>18</v>
      </c>
    </row>
    <row r="84" spans="1:13" x14ac:dyDescent="0.3">
      <c r="A84" t="s">
        <v>194</v>
      </c>
      <c r="B84" t="s">
        <v>195</v>
      </c>
      <c r="C84" t="s">
        <v>44</v>
      </c>
      <c r="D84" t="s">
        <v>54</v>
      </c>
      <c r="E84">
        <v>19125</v>
      </c>
      <c r="F84">
        <v>7299</v>
      </c>
      <c r="G84">
        <v>62</v>
      </c>
      <c r="H84">
        <v>11826</v>
      </c>
      <c r="I84" t="s">
        <v>55</v>
      </c>
      <c r="J84">
        <v>3.4</v>
      </c>
      <c r="K84">
        <v>902</v>
      </c>
      <c r="L84">
        <v>0.17624999999999999</v>
      </c>
      <c r="M84" t="s">
        <v>18</v>
      </c>
    </row>
    <row r="85" spans="1:13" x14ac:dyDescent="0.3">
      <c r="A85" t="s">
        <v>196</v>
      </c>
      <c r="B85" t="s">
        <v>197</v>
      </c>
      <c r="C85" t="s">
        <v>15</v>
      </c>
      <c r="D85" t="s">
        <v>16</v>
      </c>
      <c r="E85">
        <v>799</v>
      </c>
      <c r="F85">
        <v>299</v>
      </c>
      <c r="G85">
        <v>63</v>
      </c>
      <c r="H85">
        <v>500</v>
      </c>
      <c r="I85" t="s">
        <v>17</v>
      </c>
      <c r="J85">
        <v>4.4000000000000004</v>
      </c>
      <c r="K85">
        <v>28791</v>
      </c>
      <c r="L85">
        <v>0.51541666666666675</v>
      </c>
      <c r="M85" t="s">
        <v>18</v>
      </c>
    </row>
    <row r="86" spans="1:13" x14ac:dyDescent="0.3">
      <c r="A86" t="s">
        <v>198</v>
      </c>
      <c r="B86" t="s">
        <v>199</v>
      </c>
      <c r="C86" t="s">
        <v>15</v>
      </c>
      <c r="D86" t="s">
        <v>16</v>
      </c>
      <c r="E86">
        <v>1299</v>
      </c>
      <c r="F86">
        <v>325</v>
      </c>
      <c r="G86">
        <v>75</v>
      </c>
      <c r="H86">
        <v>974</v>
      </c>
      <c r="I86" t="s">
        <v>17</v>
      </c>
      <c r="J86">
        <v>4.2</v>
      </c>
      <c r="K86">
        <v>10576</v>
      </c>
      <c r="L86">
        <v>0.1918421052631579</v>
      </c>
      <c r="M86" t="s">
        <v>18</v>
      </c>
    </row>
    <row r="87" spans="1:13" x14ac:dyDescent="0.3">
      <c r="A87" t="s">
        <v>200</v>
      </c>
      <c r="B87" t="s">
        <v>201</v>
      </c>
      <c r="C87" t="s">
        <v>44</v>
      </c>
      <c r="D87" t="s">
        <v>54</v>
      </c>
      <c r="E87">
        <v>39999</v>
      </c>
      <c r="F87">
        <v>29999</v>
      </c>
      <c r="G87">
        <v>25</v>
      </c>
      <c r="H87">
        <v>10000</v>
      </c>
      <c r="I87" t="s">
        <v>102</v>
      </c>
      <c r="J87">
        <v>4.2</v>
      </c>
      <c r="K87">
        <v>7298</v>
      </c>
      <c r="L87">
        <v>8.5027124773960197E-2</v>
      </c>
      <c r="M87" t="s">
        <v>103</v>
      </c>
    </row>
    <row r="88" spans="1:13" x14ac:dyDescent="0.3">
      <c r="A88" t="s">
        <v>202</v>
      </c>
      <c r="B88" t="s">
        <v>203</v>
      </c>
      <c r="C88" t="s">
        <v>44</v>
      </c>
      <c r="D88" t="s">
        <v>54</v>
      </c>
      <c r="E88">
        <v>40990</v>
      </c>
      <c r="F88">
        <v>27999</v>
      </c>
      <c r="G88">
        <v>32</v>
      </c>
      <c r="H88">
        <v>12991</v>
      </c>
      <c r="I88" t="s">
        <v>102</v>
      </c>
      <c r="J88">
        <v>4.3</v>
      </c>
      <c r="K88">
        <v>4703</v>
      </c>
      <c r="L88">
        <v>0.22760834670947019</v>
      </c>
      <c r="M88" t="s">
        <v>18</v>
      </c>
    </row>
    <row r="89" spans="1:13" x14ac:dyDescent="0.3">
      <c r="A89" t="s">
        <v>204</v>
      </c>
      <c r="B89" t="s">
        <v>205</v>
      </c>
      <c r="C89" t="s">
        <v>44</v>
      </c>
      <c r="D89" t="s">
        <v>54</v>
      </c>
      <c r="E89">
        <v>52900</v>
      </c>
      <c r="F89">
        <v>30990</v>
      </c>
      <c r="G89">
        <v>41</v>
      </c>
      <c r="H89">
        <v>21910</v>
      </c>
      <c r="I89" t="s">
        <v>102</v>
      </c>
      <c r="J89">
        <v>4.3</v>
      </c>
      <c r="K89">
        <v>7109</v>
      </c>
      <c r="L89">
        <v>0.1728298861632194</v>
      </c>
      <c r="M89" t="s">
        <v>18</v>
      </c>
    </row>
    <row r="90" spans="1:13" x14ac:dyDescent="0.3">
      <c r="A90" t="s">
        <v>206</v>
      </c>
      <c r="B90" t="s">
        <v>207</v>
      </c>
      <c r="C90" t="s">
        <v>15</v>
      </c>
      <c r="D90" t="s">
        <v>16</v>
      </c>
      <c r="E90">
        <v>999</v>
      </c>
      <c r="F90">
        <v>199</v>
      </c>
      <c r="G90">
        <v>80</v>
      </c>
      <c r="H90">
        <v>800</v>
      </c>
      <c r="I90" t="s">
        <v>17</v>
      </c>
      <c r="J90">
        <v>4.5</v>
      </c>
      <c r="K90">
        <v>127</v>
      </c>
      <c r="L90">
        <v>0.48920289855072457</v>
      </c>
      <c r="M90" t="s">
        <v>18</v>
      </c>
    </row>
    <row r="91" spans="1:13" x14ac:dyDescent="0.3">
      <c r="A91" t="s">
        <v>208</v>
      </c>
      <c r="B91" t="s">
        <v>209</v>
      </c>
      <c r="C91" t="s">
        <v>15</v>
      </c>
      <c r="D91" t="s">
        <v>16</v>
      </c>
      <c r="E91">
        <v>1999</v>
      </c>
      <c r="F91">
        <v>649</v>
      </c>
      <c r="G91">
        <v>68</v>
      </c>
      <c r="H91">
        <v>1350</v>
      </c>
      <c r="I91" t="s">
        <v>64</v>
      </c>
      <c r="J91">
        <v>4.2</v>
      </c>
      <c r="K91">
        <v>24269</v>
      </c>
      <c r="L91">
        <v>0.4819444444444444</v>
      </c>
      <c r="M91" t="s">
        <v>18</v>
      </c>
    </row>
    <row r="92" spans="1:13" x14ac:dyDescent="0.3">
      <c r="A92" t="s">
        <v>210</v>
      </c>
      <c r="B92" t="s">
        <v>211</v>
      </c>
      <c r="C92" t="s">
        <v>15</v>
      </c>
      <c r="D92" t="s">
        <v>35</v>
      </c>
      <c r="E92">
        <v>800</v>
      </c>
      <c r="F92">
        <v>269</v>
      </c>
      <c r="G92">
        <v>66</v>
      </c>
      <c r="H92">
        <v>531</v>
      </c>
      <c r="I92" t="s">
        <v>17</v>
      </c>
      <c r="J92">
        <v>3.6</v>
      </c>
      <c r="K92">
        <v>10134</v>
      </c>
      <c r="L92">
        <v>0.39589225589225591</v>
      </c>
      <c r="M92" t="s">
        <v>18</v>
      </c>
    </row>
    <row r="93" spans="1:13" x14ac:dyDescent="0.3">
      <c r="A93" t="s">
        <v>212</v>
      </c>
      <c r="B93" t="s">
        <v>213</v>
      </c>
      <c r="C93" t="s">
        <v>44</v>
      </c>
      <c r="D93" t="s">
        <v>54</v>
      </c>
      <c r="E93">
        <v>31999</v>
      </c>
      <c r="F93">
        <v>24999</v>
      </c>
      <c r="G93">
        <v>22</v>
      </c>
      <c r="H93">
        <v>7000</v>
      </c>
      <c r="I93" t="s">
        <v>102</v>
      </c>
      <c r="J93">
        <v>4.2</v>
      </c>
      <c r="K93">
        <v>34899</v>
      </c>
      <c r="L93">
        <v>0.17133768315018311</v>
      </c>
      <c r="M93" t="s">
        <v>18</v>
      </c>
    </row>
    <row r="94" spans="1:13" x14ac:dyDescent="0.3">
      <c r="A94" t="s">
        <v>214</v>
      </c>
      <c r="B94" t="s">
        <v>215</v>
      </c>
      <c r="C94" t="s">
        <v>15</v>
      </c>
      <c r="D94" t="s">
        <v>16</v>
      </c>
      <c r="E94">
        <v>699</v>
      </c>
      <c r="F94">
        <v>299</v>
      </c>
      <c r="G94">
        <v>57</v>
      </c>
      <c r="H94">
        <v>400</v>
      </c>
      <c r="I94" t="s">
        <v>17</v>
      </c>
      <c r="J94">
        <v>4.2</v>
      </c>
      <c r="K94">
        <v>94363</v>
      </c>
      <c r="L94">
        <v>0.24037037037037029</v>
      </c>
      <c r="M94" t="s">
        <v>18</v>
      </c>
    </row>
    <row r="95" spans="1:13" x14ac:dyDescent="0.3">
      <c r="A95" t="s">
        <v>216</v>
      </c>
      <c r="B95" t="s">
        <v>217</v>
      </c>
      <c r="C95" t="s">
        <v>15</v>
      </c>
      <c r="D95" t="s">
        <v>16</v>
      </c>
      <c r="E95">
        <v>999</v>
      </c>
      <c r="F95">
        <v>199</v>
      </c>
      <c r="G95">
        <v>80</v>
      </c>
      <c r="H95">
        <v>800</v>
      </c>
      <c r="I95" t="s">
        <v>17</v>
      </c>
      <c r="J95">
        <v>4.0999999999999996</v>
      </c>
      <c r="K95">
        <v>425</v>
      </c>
      <c r="L95">
        <v>0.57000000000000006</v>
      </c>
      <c r="M95" t="s">
        <v>18</v>
      </c>
    </row>
    <row r="96" spans="1:13" x14ac:dyDescent="0.3">
      <c r="A96" t="s">
        <v>218</v>
      </c>
      <c r="B96" t="s">
        <v>219</v>
      </c>
      <c r="C96" t="s">
        <v>44</v>
      </c>
      <c r="D96" t="s">
        <v>54</v>
      </c>
      <c r="E96">
        <v>40990</v>
      </c>
      <c r="F96">
        <v>18990</v>
      </c>
      <c r="G96">
        <v>54</v>
      </c>
      <c r="H96">
        <v>22000</v>
      </c>
      <c r="I96" t="s">
        <v>55</v>
      </c>
      <c r="J96">
        <v>4.2</v>
      </c>
      <c r="K96">
        <v>6659</v>
      </c>
      <c r="L96">
        <v>0.1056228956228956</v>
      </c>
      <c r="M96" t="s">
        <v>18</v>
      </c>
    </row>
    <row r="97" spans="1:13" x14ac:dyDescent="0.3">
      <c r="A97" t="s">
        <v>220</v>
      </c>
      <c r="B97" t="s">
        <v>221</v>
      </c>
      <c r="C97" t="s">
        <v>15</v>
      </c>
      <c r="D97" t="s">
        <v>35</v>
      </c>
      <c r="E97">
        <v>349</v>
      </c>
      <c r="F97">
        <v>290</v>
      </c>
      <c r="G97">
        <v>17</v>
      </c>
      <c r="H97">
        <v>59</v>
      </c>
      <c r="I97" t="s">
        <v>17</v>
      </c>
      <c r="J97">
        <v>3.7</v>
      </c>
      <c r="K97">
        <v>1977</v>
      </c>
      <c r="L97">
        <v>0.39333333333333331</v>
      </c>
      <c r="M97" t="s">
        <v>18</v>
      </c>
    </row>
    <row r="98" spans="1:13" x14ac:dyDescent="0.3">
      <c r="A98" t="s">
        <v>222</v>
      </c>
      <c r="B98" t="s">
        <v>223</v>
      </c>
      <c r="C98" t="s">
        <v>44</v>
      </c>
      <c r="D98" t="s">
        <v>124</v>
      </c>
      <c r="E98">
        <v>799</v>
      </c>
      <c r="F98">
        <v>249</v>
      </c>
      <c r="G98">
        <v>69</v>
      </c>
      <c r="H98">
        <v>550</v>
      </c>
      <c r="I98" t="s">
        <v>17</v>
      </c>
      <c r="J98">
        <v>3.8</v>
      </c>
      <c r="K98">
        <v>1079</v>
      </c>
      <c r="L98">
        <v>0.1374999999999999</v>
      </c>
      <c r="M98" t="s">
        <v>18</v>
      </c>
    </row>
    <row r="99" spans="1:13" x14ac:dyDescent="0.3">
      <c r="A99" t="s">
        <v>224</v>
      </c>
      <c r="B99" t="s">
        <v>225</v>
      </c>
      <c r="C99" t="s">
        <v>15</v>
      </c>
      <c r="D99" t="s">
        <v>16</v>
      </c>
      <c r="E99">
        <v>999</v>
      </c>
      <c r="F99">
        <v>345</v>
      </c>
      <c r="G99">
        <v>65</v>
      </c>
      <c r="H99">
        <v>654</v>
      </c>
      <c r="I99" t="s">
        <v>17</v>
      </c>
      <c r="J99">
        <v>3.7</v>
      </c>
      <c r="K99">
        <v>1097</v>
      </c>
      <c r="L99">
        <v>0.2476190476190476</v>
      </c>
      <c r="M99" t="s">
        <v>18</v>
      </c>
    </row>
    <row r="100" spans="1:13" x14ac:dyDescent="0.3">
      <c r="A100" t="s">
        <v>226</v>
      </c>
      <c r="B100" t="s">
        <v>227</v>
      </c>
      <c r="C100" t="s">
        <v>15</v>
      </c>
      <c r="D100" t="s">
        <v>35</v>
      </c>
      <c r="E100">
        <v>1899</v>
      </c>
      <c r="F100">
        <v>1099</v>
      </c>
      <c r="G100">
        <v>42</v>
      </c>
      <c r="H100">
        <v>800</v>
      </c>
      <c r="I100" t="s">
        <v>64</v>
      </c>
      <c r="J100">
        <v>4.5</v>
      </c>
      <c r="K100">
        <v>22420</v>
      </c>
      <c r="L100">
        <v>0.24861111111111109</v>
      </c>
      <c r="M100" t="s">
        <v>18</v>
      </c>
    </row>
    <row r="101" spans="1:13" x14ac:dyDescent="0.3">
      <c r="A101" t="s">
        <v>228</v>
      </c>
      <c r="B101" t="s">
        <v>229</v>
      </c>
      <c r="C101" t="s">
        <v>15</v>
      </c>
      <c r="D101" t="s">
        <v>16</v>
      </c>
      <c r="E101">
        <v>1499</v>
      </c>
      <c r="F101">
        <v>719</v>
      </c>
      <c r="G101">
        <v>52</v>
      </c>
      <c r="H101">
        <v>780</v>
      </c>
      <c r="I101" t="s">
        <v>64</v>
      </c>
      <c r="J101">
        <v>4.0999999999999996</v>
      </c>
      <c r="K101">
        <v>1045</v>
      </c>
      <c r="L101">
        <v>0.31164529914529909</v>
      </c>
      <c r="M101" t="s">
        <v>18</v>
      </c>
    </row>
    <row r="102" spans="1:13" x14ac:dyDescent="0.3">
      <c r="A102" t="s">
        <v>230</v>
      </c>
      <c r="B102" t="s">
        <v>231</v>
      </c>
      <c r="C102" t="s">
        <v>44</v>
      </c>
      <c r="D102" t="s">
        <v>124</v>
      </c>
      <c r="E102">
        <v>1499</v>
      </c>
      <c r="F102">
        <v>349</v>
      </c>
      <c r="G102">
        <v>77</v>
      </c>
      <c r="H102">
        <v>1150</v>
      </c>
      <c r="I102" t="s">
        <v>17</v>
      </c>
      <c r="J102">
        <v>4.3</v>
      </c>
      <c r="K102">
        <v>4145</v>
      </c>
      <c r="L102">
        <v>0.35256410256410259</v>
      </c>
      <c r="M102" t="s">
        <v>18</v>
      </c>
    </row>
    <row r="103" spans="1:13" x14ac:dyDescent="0.3">
      <c r="A103" t="s">
        <v>232</v>
      </c>
      <c r="B103" t="s">
        <v>233</v>
      </c>
      <c r="C103" t="s">
        <v>15</v>
      </c>
      <c r="D103" t="s">
        <v>16</v>
      </c>
      <c r="E103">
        <v>1809</v>
      </c>
      <c r="F103">
        <v>849</v>
      </c>
      <c r="G103">
        <v>53</v>
      </c>
      <c r="H103">
        <v>960</v>
      </c>
      <c r="I103" t="s">
        <v>64</v>
      </c>
      <c r="J103">
        <v>4.3</v>
      </c>
      <c r="K103">
        <v>6547</v>
      </c>
      <c r="L103">
        <v>0.34907407407407409</v>
      </c>
      <c r="M103" t="s">
        <v>18</v>
      </c>
    </row>
    <row r="104" spans="1:13" x14ac:dyDescent="0.3">
      <c r="A104" t="s">
        <v>234</v>
      </c>
      <c r="B104" t="s">
        <v>235</v>
      </c>
      <c r="C104" t="s">
        <v>44</v>
      </c>
      <c r="D104" t="s">
        <v>124</v>
      </c>
      <c r="E104">
        <v>899</v>
      </c>
      <c r="F104">
        <v>299</v>
      </c>
      <c r="G104">
        <v>67</v>
      </c>
      <c r="H104">
        <v>600</v>
      </c>
      <c r="I104" t="s">
        <v>17</v>
      </c>
      <c r="J104">
        <v>4</v>
      </c>
      <c r="K104">
        <v>1588</v>
      </c>
      <c r="L104">
        <v>0.13694291819291809</v>
      </c>
      <c r="M104" t="s">
        <v>18</v>
      </c>
    </row>
    <row r="105" spans="1:13" x14ac:dyDescent="0.3">
      <c r="A105" t="s">
        <v>236</v>
      </c>
      <c r="B105" t="s">
        <v>237</v>
      </c>
      <c r="C105" t="s">
        <v>44</v>
      </c>
      <c r="D105" t="s">
        <v>54</v>
      </c>
      <c r="E105">
        <v>29999</v>
      </c>
      <c r="F105">
        <v>21999</v>
      </c>
      <c r="G105">
        <v>27</v>
      </c>
      <c r="H105">
        <v>8000</v>
      </c>
      <c r="I105" t="s">
        <v>102</v>
      </c>
      <c r="J105">
        <v>4.2</v>
      </c>
      <c r="K105">
        <v>32840</v>
      </c>
      <c r="L105">
        <v>0.4046153846153846</v>
      </c>
      <c r="M105" t="s">
        <v>18</v>
      </c>
    </row>
    <row r="106" spans="1:13" x14ac:dyDescent="0.3">
      <c r="A106" t="s">
        <v>238</v>
      </c>
      <c r="B106" t="s">
        <v>239</v>
      </c>
      <c r="C106" t="s">
        <v>15</v>
      </c>
      <c r="D106" t="s">
        <v>16</v>
      </c>
      <c r="E106">
        <v>999</v>
      </c>
      <c r="F106">
        <v>349</v>
      </c>
      <c r="G106">
        <v>65</v>
      </c>
      <c r="H106">
        <v>650</v>
      </c>
      <c r="I106" t="s">
        <v>17</v>
      </c>
      <c r="J106">
        <v>4.2</v>
      </c>
      <c r="K106">
        <v>13120</v>
      </c>
      <c r="L106">
        <v>0.25931372549019599</v>
      </c>
      <c r="M106" t="s">
        <v>18</v>
      </c>
    </row>
    <row r="107" spans="1:13" x14ac:dyDescent="0.3">
      <c r="A107" t="s">
        <v>240</v>
      </c>
      <c r="B107" t="s">
        <v>241</v>
      </c>
      <c r="C107" t="s">
        <v>15</v>
      </c>
      <c r="D107" t="s">
        <v>16</v>
      </c>
      <c r="E107">
        <v>999</v>
      </c>
      <c r="F107">
        <v>399</v>
      </c>
      <c r="G107">
        <v>60</v>
      </c>
      <c r="H107">
        <v>600</v>
      </c>
      <c r="I107" t="s">
        <v>17</v>
      </c>
      <c r="J107">
        <v>4.3</v>
      </c>
      <c r="K107">
        <v>2806</v>
      </c>
      <c r="L107">
        <v>0.37114425505050502</v>
      </c>
      <c r="M107" t="s">
        <v>18</v>
      </c>
    </row>
    <row r="108" spans="1:13" x14ac:dyDescent="0.3">
      <c r="A108" t="s">
        <v>242</v>
      </c>
      <c r="B108" t="s">
        <v>243</v>
      </c>
      <c r="C108" t="s">
        <v>15</v>
      </c>
      <c r="D108" t="s">
        <v>16</v>
      </c>
      <c r="E108">
        <v>1299</v>
      </c>
      <c r="F108">
        <v>449</v>
      </c>
      <c r="G108">
        <v>65</v>
      </c>
      <c r="H108">
        <v>850</v>
      </c>
      <c r="I108" t="s">
        <v>17</v>
      </c>
      <c r="J108">
        <v>4.2</v>
      </c>
      <c r="K108">
        <v>24269</v>
      </c>
      <c r="L108">
        <v>0.4819444444444444</v>
      </c>
      <c r="M108" t="s">
        <v>18</v>
      </c>
    </row>
    <row r="109" spans="1:13" x14ac:dyDescent="0.3">
      <c r="A109" t="s">
        <v>244</v>
      </c>
      <c r="B109" t="s">
        <v>245</v>
      </c>
      <c r="C109" t="s">
        <v>15</v>
      </c>
      <c r="D109" t="s">
        <v>16</v>
      </c>
      <c r="E109">
        <v>999</v>
      </c>
      <c r="F109">
        <v>299</v>
      </c>
      <c r="G109">
        <v>70</v>
      </c>
      <c r="H109">
        <v>700</v>
      </c>
      <c r="I109" t="s">
        <v>17</v>
      </c>
      <c r="J109">
        <v>4.3</v>
      </c>
      <c r="K109">
        <v>766</v>
      </c>
      <c r="L109">
        <v>0.34629629629629632</v>
      </c>
      <c r="M109" t="s">
        <v>18</v>
      </c>
    </row>
    <row r="110" spans="1:13" x14ac:dyDescent="0.3">
      <c r="A110" t="s">
        <v>246</v>
      </c>
      <c r="B110" t="s">
        <v>247</v>
      </c>
      <c r="C110" t="s">
        <v>44</v>
      </c>
      <c r="D110" t="s">
        <v>54</v>
      </c>
      <c r="E110">
        <v>65000</v>
      </c>
      <c r="F110">
        <v>37999</v>
      </c>
      <c r="G110">
        <v>42</v>
      </c>
      <c r="H110">
        <v>27001</v>
      </c>
      <c r="I110" t="s">
        <v>102</v>
      </c>
      <c r="J110">
        <v>4.3</v>
      </c>
      <c r="K110">
        <v>3587</v>
      </c>
      <c r="L110">
        <v>0.1658483245149911</v>
      </c>
      <c r="M110" t="s">
        <v>18</v>
      </c>
    </row>
    <row r="111" spans="1:13" x14ac:dyDescent="0.3">
      <c r="A111" t="s">
        <v>248</v>
      </c>
      <c r="B111" t="s">
        <v>249</v>
      </c>
      <c r="C111" t="s">
        <v>15</v>
      </c>
      <c r="D111" t="s">
        <v>16</v>
      </c>
      <c r="E111">
        <v>800</v>
      </c>
      <c r="F111">
        <v>99</v>
      </c>
      <c r="G111">
        <v>88</v>
      </c>
      <c r="H111">
        <v>701</v>
      </c>
      <c r="I111" t="s">
        <v>17</v>
      </c>
      <c r="J111">
        <v>3.9</v>
      </c>
      <c r="K111">
        <v>24871</v>
      </c>
      <c r="L111">
        <v>0.48666666666666658</v>
      </c>
      <c r="M111" t="s">
        <v>18</v>
      </c>
    </row>
    <row r="112" spans="1:13" x14ac:dyDescent="0.3">
      <c r="A112" t="s">
        <v>250</v>
      </c>
      <c r="B112" t="s">
        <v>251</v>
      </c>
      <c r="C112" t="s">
        <v>44</v>
      </c>
      <c r="D112" t="s">
        <v>135</v>
      </c>
      <c r="E112">
        <v>20000</v>
      </c>
      <c r="F112">
        <v>7390</v>
      </c>
      <c r="G112">
        <v>63</v>
      </c>
      <c r="H112">
        <v>12610</v>
      </c>
      <c r="I112" t="s">
        <v>55</v>
      </c>
      <c r="J112">
        <v>4.0999999999999996</v>
      </c>
      <c r="K112">
        <v>2581</v>
      </c>
      <c r="L112">
        <v>0.4375</v>
      </c>
      <c r="M112" t="s">
        <v>18</v>
      </c>
    </row>
    <row r="113" spans="1:13" x14ac:dyDescent="0.3">
      <c r="A113" t="s">
        <v>252</v>
      </c>
      <c r="B113" t="s">
        <v>253</v>
      </c>
      <c r="C113" t="s">
        <v>15</v>
      </c>
      <c r="D113" t="s">
        <v>16</v>
      </c>
      <c r="E113">
        <v>999</v>
      </c>
      <c r="F113">
        <v>273.10000000000002</v>
      </c>
      <c r="G113">
        <v>73</v>
      </c>
      <c r="H113">
        <v>725.9</v>
      </c>
      <c r="I113" t="s">
        <v>17</v>
      </c>
      <c r="J113">
        <v>4.3</v>
      </c>
      <c r="K113">
        <v>20850</v>
      </c>
      <c r="L113">
        <v>0.36069444444444437</v>
      </c>
      <c r="M113" t="s">
        <v>18</v>
      </c>
    </row>
    <row r="114" spans="1:13" x14ac:dyDescent="0.3">
      <c r="A114" t="s">
        <v>254</v>
      </c>
      <c r="B114" t="s">
        <v>255</v>
      </c>
      <c r="C114" t="s">
        <v>44</v>
      </c>
      <c r="D114" t="s">
        <v>54</v>
      </c>
      <c r="E114">
        <v>23990</v>
      </c>
      <c r="F114">
        <v>15990</v>
      </c>
      <c r="G114">
        <v>33</v>
      </c>
      <c r="H114">
        <v>8000</v>
      </c>
      <c r="I114" t="s">
        <v>55</v>
      </c>
      <c r="J114">
        <v>4.3</v>
      </c>
      <c r="K114">
        <v>1035</v>
      </c>
      <c r="L114">
        <v>0.26874482401656308</v>
      </c>
      <c r="M114" t="s">
        <v>18</v>
      </c>
    </row>
    <row r="115" spans="1:13" x14ac:dyDescent="0.3">
      <c r="A115" t="s">
        <v>256</v>
      </c>
      <c r="B115" t="s">
        <v>257</v>
      </c>
      <c r="C115" t="s">
        <v>15</v>
      </c>
      <c r="D115" t="s">
        <v>16</v>
      </c>
      <c r="E115">
        <v>999</v>
      </c>
      <c r="F115">
        <v>399</v>
      </c>
      <c r="G115">
        <v>60</v>
      </c>
      <c r="H115">
        <v>600</v>
      </c>
      <c r="I115" t="s">
        <v>17</v>
      </c>
      <c r="J115">
        <v>4.0999999999999996</v>
      </c>
      <c r="K115">
        <v>1780</v>
      </c>
      <c r="L115">
        <v>0.2539879931389365</v>
      </c>
      <c r="M115" t="s">
        <v>18</v>
      </c>
    </row>
    <row r="116" spans="1:13" x14ac:dyDescent="0.3">
      <c r="A116" t="s">
        <v>258</v>
      </c>
      <c r="B116" t="s">
        <v>259</v>
      </c>
      <c r="C116" t="s">
        <v>44</v>
      </c>
      <c r="D116" t="s">
        <v>124</v>
      </c>
      <c r="E116">
        <v>1999</v>
      </c>
      <c r="F116">
        <v>399</v>
      </c>
      <c r="G116">
        <v>80</v>
      </c>
      <c r="H116">
        <v>1600</v>
      </c>
      <c r="I116" t="s">
        <v>17</v>
      </c>
      <c r="J116">
        <v>4.5</v>
      </c>
      <c r="K116">
        <v>505</v>
      </c>
      <c r="L116">
        <v>0.20200000000000001</v>
      </c>
      <c r="M116" t="s">
        <v>18</v>
      </c>
    </row>
    <row r="117" spans="1:13" x14ac:dyDescent="0.3">
      <c r="A117" t="s">
        <v>260</v>
      </c>
      <c r="B117" t="s">
        <v>261</v>
      </c>
      <c r="C117" t="s">
        <v>15</v>
      </c>
      <c r="D117" t="s">
        <v>16</v>
      </c>
      <c r="E117">
        <v>399</v>
      </c>
      <c r="F117">
        <v>210</v>
      </c>
      <c r="G117">
        <v>47</v>
      </c>
      <c r="H117">
        <v>189</v>
      </c>
      <c r="I117" t="s">
        <v>17</v>
      </c>
      <c r="J117">
        <v>4.0999999999999996</v>
      </c>
      <c r="K117">
        <v>1717</v>
      </c>
      <c r="L117">
        <v>1.60416666666666E-2</v>
      </c>
      <c r="M117" t="s">
        <v>103</v>
      </c>
    </row>
    <row r="118" spans="1:13" x14ac:dyDescent="0.3">
      <c r="A118" t="s">
        <v>262</v>
      </c>
      <c r="B118" t="s">
        <v>263</v>
      </c>
      <c r="C118" t="s">
        <v>44</v>
      </c>
      <c r="D118" t="s">
        <v>124</v>
      </c>
      <c r="E118">
        <v>1999</v>
      </c>
      <c r="F118">
        <v>1299</v>
      </c>
      <c r="G118">
        <v>35</v>
      </c>
      <c r="H118">
        <v>700</v>
      </c>
      <c r="I118" t="s">
        <v>64</v>
      </c>
      <c r="J118">
        <v>3.6</v>
      </c>
      <c r="K118">
        <v>590</v>
      </c>
      <c r="L118">
        <v>3.6666666666666597E-2</v>
      </c>
      <c r="M118" t="s">
        <v>103</v>
      </c>
    </row>
    <row r="119" spans="1:13" x14ac:dyDescent="0.3">
      <c r="A119" t="s">
        <v>264</v>
      </c>
      <c r="B119" t="s">
        <v>265</v>
      </c>
      <c r="C119" t="s">
        <v>15</v>
      </c>
      <c r="D119" t="s">
        <v>16</v>
      </c>
      <c r="E119">
        <v>999</v>
      </c>
      <c r="F119">
        <v>347</v>
      </c>
      <c r="G119">
        <v>65</v>
      </c>
      <c r="H119">
        <v>652</v>
      </c>
      <c r="I119" t="s">
        <v>17</v>
      </c>
      <c r="J119">
        <v>3.5</v>
      </c>
      <c r="K119">
        <v>1121</v>
      </c>
      <c r="L119">
        <v>0.28711111111111098</v>
      </c>
      <c r="M119" t="s">
        <v>18</v>
      </c>
    </row>
    <row r="120" spans="1:13" x14ac:dyDescent="0.3">
      <c r="A120" t="s">
        <v>266</v>
      </c>
      <c r="B120" t="s">
        <v>267</v>
      </c>
      <c r="C120" t="s">
        <v>15</v>
      </c>
      <c r="D120" t="s">
        <v>16</v>
      </c>
      <c r="E120">
        <v>999</v>
      </c>
      <c r="F120">
        <v>149</v>
      </c>
      <c r="G120">
        <v>85</v>
      </c>
      <c r="H120">
        <v>850</v>
      </c>
      <c r="I120" t="s">
        <v>17</v>
      </c>
      <c r="J120">
        <v>4</v>
      </c>
      <c r="K120">
        <v>1313</v>
      </c>
      <c r="L120">
        <v>0.17765151515151509</v>
      </c>
      <c r="M120" t="s">
        <v>18</v>
      </c>
    </row>
    <row r="121" spans="1:13" x14ac:dyDescent="0.3">
      <c r="A121" t="s">
        <v>268</v>
      </c>
      <c r="B121" t="s">
        <v>269</v>
      </c>
      <c r="C121" t="s">
        <v>15</v>
      </c>
      <c r="D121" t="s">
        <v>16</v>
      </c>
      <c r="E121">
        <v>899</v>
      </c>
      <c r="F121">
        <v>228</v>
      </c>
      <c r="G121">
        <v>75</v>
      </c>
      <c r="H121">
        <v>671</v>
      </c>
      <c r="I121" t="s">
        <v>17</v>
      </c>
      <c r="J121">
        <v>3.8</v>
      </c>
      <c r="K121">
        <v>132</v>
      </c>
      <c r="L121">
        <v>0.27692307692307688</v>
      </c>
      <c r="M121" t="s">
        <v>18</v>
      </c>
    </row>
    <row r="122" spans="1:13" x14ac:dyDescent="0.3">
      <c r="A122" t="s">
        <v>270</v>
      </c>
      <c r="B122" t="s">
        <v>271</v>
      </c>
      <c r="C122" t="s">
        <v>15</v>
      </c>
      <c r="D122" t="s">
        <v>16</v>
      </c>
      <c r="E122">
        <v>1999</v>
      </c>
      <c r="F122">
        <v>1599</v>
      </c>
      <c r="G122">
        <v>20</v>
      </c>
      <c r="H122">
        <v>400</v>
      </c>
      <c r="I122" t="s">
        <v>167</v>
      </c>
      <c r="J122">
        <v>4.4000000000000004</v>
      </c>
      <c r="K122">
        <v>1951</v>
      </c>
      <c r="L122">
        <v>0.29713675213675211</v>
      </c>
      <c r="M122" t="s">
        <v>18</v>
      </c>
    </row>
    <row r="123" spans="1:13" x14ac:dyDescent="0.3">
      <c r="A123" t="s">
        <v>272</v>
      </c>
      <c r="B123" t="s">
        <v>273</v>
      </c>
      <c r="C123" t="s">
        <v>44</v>
      </c>
      <c r="D123" t="s">
        <v>124</v>
      </c>
      <c r="E123">
        <v>3999</v>
      </c>
      <c r="F123">
        <v>1499</v>
      </c>
      <c r="G123">
        <v>63</v>
      </c>
      <c r="H123">
        <v>2500</v>
      </c>
      <c r="I123" t="s">
        <v>64</v>
      </c>
      <c r="J123">
        <v>3.7</v>
      </c>
      <c r="K123">
        <v>37</v>
      </c>
      <c r="L123">
        <v>0.51249999999999996</v>
      </c>
      <c r="M123" t="s">
        <v>18</v>
      </c>
    </row>
    <row r="124" spans="1:13" x14ac:dyDescent="0.3">
      <c r="A124" t="s">
        <v>274</v>
      </c>
      <c r="B124" t="s">
        <v>275</v>
      </c>
      <c r="C124" t="s">
        <v>44</v>
      </c>
      <c r="D124" t="s">
        <v>54</v>
      </c>
      <c r="E124">
        <v>15999</v>
      </c>
      <c r="F124">
        <v>8499</v>
      </c>
      <c r="G124">
        <v>47</v>
      </c>
      <c r="H124">
        <v>7500</v>
      </c>
      <c r="I124" t="s">
        <v>55</v>
      </c>
      <c r="J124">
        <v>4.3</v>
      </c>
      <c r="K124">
        <v>592</v>
      </c>
      <c r="L124">
        <v>0.15140350877192979</v>
      </c>
      <c r="M124" t="s">
        <v>18</v>
      </c>
    </row>
    <row r="125" spans="1:13" x14ac:dyDescent="0.3">
      <c r="A125" t="s">
        <v>276</v>
      </c>
      <c r="B125" t="s">
        <v>277</v>
      </c>
      <c r="C125" t="s">
        <v>44</v>
      </c>
      <c r="D125" t="s">
        <v>54</v>
      </c>
      <c r="E125">
        <v>44990</v>
      </c>
      <c r="F125">
        <v>20990</v>
      </c>
      <c r="G125">
        <v>53</v>
      </c>
      <c r="H125">
        <v>24000</v>
      </c>
      <c r="I125" t="s">
        <v>102</v>
      </c>
      <c r="J125">
        <v>4.0999999999999996</v>
      </c>
      <c r="K125">
        <v>1259</v>
      </c>
      <c r="L125">
        <v>0.1800531462585033</v>
      </c>
      <c r="M125" t="s">
        <v>18</v>
      </c>
    </row>
    <row r="126" spans="1:13" x14ac:dyDescent="0.3">
      <c r="A126" t="s">
        <v>278</v>
      </c>
      <c r="B126" t="s">
        <v>279</v>
      </c>
      <c r="C126" t="s">
        <v>44</v>
      </c>
      <c r="D126" t="s">
        <v>54</v>
      </c>
      <c r="E126">
        <v>44999</v>
      </c>
      <c r="F126">
        <v>32999</v>
      </c>
      <c r="G126">
        <v>27</v>
      </c>
      <c r="H126">
        <v>12000</v>
      </c>
      <c r="I126" t="s">
        <v>102</v>
      </c>
      <c r="J126">
        <v>4.2</v>
      </c>
      <c r="K126">
        <v>45238</v>
      </c>
      <c r="L126">
        <v>0.2229666666666667</v>
      </c>
      <c r="M126" t="s">
        <v>18</v>
      </c>
    </row>
    <row r="127" spans="1:13" x14ac:dyDescent="0.3">
      <c r="A127" t="s">
        <v>280</v>
      </c>
      <c r="B127" t="s">
        <v>281</v>
      </c>
      <c r="C127" t="s">
        <v>44</v>
      </c>
      <c r="D127" t="s">
        <v>45</v>
      </c>
      <c r="E127">
        <v>1700</v>
      </c>
      <c r="F127">
        <v>799</v>
      </c>
      <c r="G127">
        <v>53</v>
      </c>
      <c r="H127">
        <v>901</v>
      </c>
      <c r="I127" t="s">
        <v>64</v>
      </c>
      <c r="J127">
        <v>4.0999999999999996</v>
      </c>
      <c r="K127">
        <v>28638</v>
      </c>
      <c r="L127">
        <v>0.37396723646723662</v>
      </c>
      <c r="M127" t="s">
        <v>18</v>
      </c>
    </row>
    <row r="128" spans="1:13" x14ac:dyDescent="0.3">
      <c r="A128" t="s">
        <v>282</v>
      </c>
      <c r="B128" t="s">
        <v>283</v>
      </c>
      <c r="C128" t="s">
        <v>44</v>
      </c>
      <c r="D128" t="s">
        <v>45</v>
      </c>
      <c r="E128">
        <v>595</v>
      </c>
      <c r="F128">
        <v>229</v>
      </c>
      <c r="G128">
        <v>62</v>
      </c>
      <c r="H128">
        <v>366</v>
      </c>
      <c r="I128" t="s">
        <v>17</v>
      </c>
      <c r="J128">
        <v>4.3</v>
      </c>
      <c r="K128">
        <v>12835</v>
      </c>
      <c r="L128">
        <v>0.2069753086419753</v>
      </c>
      <c r="M128" t="s">
        <v>18</v>
      </c>
    </row>
    <row r="129" spans="1:13" x14ac:dyDescent="0.3">
      <c r="A129" t="s">
        <v>284</v>
      </c>
      <c r="B129" t="s">
        <v>285</v>
      </c>
      <c r="C129" t="s">
        <v>44</v>
      </c>
      <c r="D129" t="s">
        <v>54</v>
      </c>
      <c r="E129">
        <v>27990</v>
      </c>
      <c r="F129">
        <v>9999</v>
      </c>
      <c r="G129">
        <v>64</v>
      </c>
      <c r="H129">
        <v>17991</v>
      </c>
      <c r="I129" t="s">
        <v>55</v>
      </c>
      <c r="J129">
        <v>4.2</v>
      </c>
      <c r="K129">
        <v>1269</v>
      </c>
      <c r="L129">
        <v>0.30805194805194791</v>
      </c>
      <c r="M129" t="s">
        <v>18</v>
      </c>
    </row>
    <row r="130" spans="1:13" x14ac:dyDescent="0.3">
      <c r="A130" t="s">
        <v>286</v>
      </c>
      <c r="B130" t="s">
        <v>287</v>
      </c>
      <c r="C130" t="s">
        <v>44</v>
      </c>
      <c r="D130" t="s">
        <v>124</v>
      </c>
      <c r="E130">
        <v>599</v>
      </c>
      <c r="F130">
        <v>349</v>
      </c>
      <c r="G130">
        <v>42</v>
      </c>
      <c r="H130">
        <v>250</v>
      </c>
      <c r="I130" t="s">
        <v>17</v>
      </c>
      <c r="J130">
        <v>4.2</v>
      </c>
      <c r="K130">
        <v>284</v>
      </c>
      <c r="L130">
        <v>0.23335946573751451</v>
      </c>
      <c r="M130" t="s">
        <v>18</v>
      </c>
    </row>
    <row r="131" spans="1:13" x14ac:dyDescent="0.3">
      <c r="A131" t="s">
        <v>288</v>
      </c>
      <c r="B131" t="s">
        <v>289</v>
      </c>
      <c r="C131" t="s">
        <v>44</v>
      </c>
      <c r="D131" t="s">
        <v>290</v>
      </c>
      <c r="E131">
        <v>1200</v>
      </c>
      <c r="F131">
        <v>489</v>
      </c>
      <c r="G131">
        <v>59</v>
      </c>
      <c r="H131">
        <v>711</v>
      </c>
      <c r="I131" t="s">
        <v>17</v>
      </c>
      <c r="J131">
        <v>4.4000000000000004</v>
      </c>
      <c r="K131">
        <v>69538</v>
      </c>
      <c r="L131">
        <v>0.5663636363636364</v>
      </c>
      <c r="M131" t="s">
        <v>18</v>
      </c>
    </row>
    <row r="132" spans="1:13" x14ac:dyDescent="0.3">
      <c r="A132" t="s">
        <v>291</v>
      </c>
      <c r="B132" t="s">
        <v>292</v>
      </c>
      <c r="C132" t="s">
        <v>44</v>
      </c>
      <c r="D132" t="s">
        <v>54</v>
      </c>
      <c r="E132">
        <v>34990</v>
      </c>
      <c r="F132">
        <v>23999</v>
      </c>
      <c r="G132">
        <v>31</v>
      </c>
      <c r="H132">
        <v>10991</v>
      </c>
      <c r="I132" t="s">
        <v>102</v>
      </c>
      <c r="J132">
        <v>4.3</v>
      </c>
      <c r="K132">
        <v>4703</v>
      </c>
      <c r="L132">
        <v>0.22760834670947019</v>
      </c>
      <c r="M132" t="s">
        <v>18</v>
      </c>
    </row>
    <row r="133" spans="1:13" x14ac:dyDescent="0.3">
      <c r="A133" t="s">
        <v>293</v>
      </c>
      <c r="B133" t="s">
        <v>294</v>
      </c>
      <c r="C133" t="s">
        <v>15</v>
      </c>
      <c r="D133" t="s">
        <v>16</v>
      </c>
      <c r="E133">
        <v>999</v>
      </c>
      <c r="F133">
        <v>399</v>
      </c>
      <c r="G133">
        <v>60</v>
      </c>
      <c r="H133">
        <v>600</v>
      </c>
      <c r="I133" t="s">
        <v>17</v>
      </c>
      <c r="J133">
        <v>4.3</v>
      </c>
      <c r="K133">
        <v>2806</v>
      </c>
      <c r="L133">
        <v>0.37114425505050502</v>
      </c>
      <c r="M133" t="s">
        <v>18</v>
      </c>
    </row>
    <row r="134" spans="1:13" x14ac:dyDescent="0.3">
      <c r="A134" t="s">
        <v>295</v>
      </c>
      <c r="B134" t="s">
        <v>296</v>
      </c>
      <c r="C134" t="s">
        <v>44</v>
      </c>
      <c r="D134" t="s">
        <v>297</v>
      </c>
      <c r="E134">
        <v>1299</v>
      </c>
      <c r="F134">
        <v>349</v>
      </c>
      <c r="G134">
        <v>73</v>
      </c>
      <c r="H134">
        <v>950</v>
      </c>
      <c r="I134" t="s">
        <v>17</v>
      </c>
      <c r="J134">
        <v>4</v>
      </c>
      <c r="K134">
        <v>3295</v>
      </c>
      <c r="L134">
        <v>0.19143790849673201</v>
      </c>
      <c r="M134" t="s">
        <v>18</v>
      </c>
    </row>
    <row r="135" spans="1:13" x14ac:dyDescent="0.3">
      <c r="A135" t="s">
        <v>298</v>
      </c>
      <c r="B135" t="s">
        <v>299</v>
      </c>
      <c r="C135" t="s">
        <v>15</v>
      </c>
      <c r="D135" t="s">
        <v>16</v>
      </c>
      <c r="E135">
        <v>299</v>
      </c>
      <c r="F135">
        <v>179</v>
      </c>
      <c r="G135">
        <v>40</v>
      </c>
      <c r="H135">
        <v>120</v>
      </c>
      <c r="I135" t="s">
        <v>17</v>
      </c>
      <c r="J135">
        <v>3.9</v>
      </c>
      <c r="K135">
        <v>81</v>
      </c>
      <c r="L135">
        <v>0.1357142857142857</v>
      </c>
      <c r="M135" t="s">
        <v>18</v>
      </c>
    </row>
    <row r="136" spans="1:13" x14ac:dyDescent="0.3">
      <c r="A136" t="s">
        <v>300</v>
      </c>
      <c r="B136" t="s">
        <v>301</v>
      </c>
      <c r="C136" t="s">
        <v>15</v>
      </c>
      <c r="D136" t="s">
        <v>16</v>
      </c>
      <c r="E136">
        <v>1500</v>
      </c>
      <c r="F136">
        <v>689</v>
      </c>
      <c r="G136">
        <v>54</v>
      </c>
      <c r="H136">
        <v>811</v>
      </c>
      <c r="I136" t="s">
        <v>64</v>
      </c>
      <c r="J136">
        <v>4.2</v>
      </c>
      <c r="K136">
        <v>42301</v>
      </c>
      <c r="L136">
        <v>0.7</v>
      </c>
      <c r="M136" t="s">
        <v>18</v>
      </c>
    </row>
    <row r="137" spans="1:13" x14ac:dyDescent="0.3">
      <c r="A137" t="s">
        <v>302</v>
      </c>
      <c r="B137" t="s">
        <v>303</v>
      </c>
      <c r="C137" t="s">
        <v>44</v>
      </c>
      <c r="D137" t="s">
        <v>54</v>
      </c>
      <c r="E137">
        <v>49990</v>
      </c>
      <c r="F137">
        <v>30990</v>
      </c>
      <c r="G137">
        <v>38</v>
      </c>
      <c r="H137">
        <v>19000</v>
      </c>
      <c r="I137" t="s">
        <v>102</v>
      </c>
      <c r="J137">
        <v>4.3</v>
      </c>
      <c r="K137">
        <v>1376</v>
      </c>
      <c r="L137">
        <v>0.15673333333333331</v>
      </c>
      <c r="M137" t="s">
        <v>18</v>
      </c>
    </row>
    <row r="138" spans="1:13" x14ac:dyDescent="0.3">
      <c r="A138" t="s">
        <v>304</v>
      </c>
      <c r="B138" t="s">
        <v>305</v>
      </c>
      <c r="C138" t="s">
        <v>15</v>
      </c>
      <c r="D138" t="s">
        <v>16</v>
      </c>
      <c r="E138">
        <v>931</v>
      </c>
      <c r="F138">
        <v>249</v>
      </c>
      <c r="G138">
        <v>73</v>
      </c>
      <c r="H138">
        <v>682</v>
      </c>
      <c r="I138" t="s">
        <v>17</v>
      </c>
      <c r="J138">
        <v>3.9</v>
      </c>
      <c r="K138">
        <v>1075</v>
      </c>
      <c r="L138">
        <v>0.17499999999999991</v>
      </c>
      <c r="M138" t="s">
        <v>18</v>
      </c>
    </row>
    <row r="139" spans="1:13" x14ac:dyDescent="0.3">
      <c r="A139" t="s">
        <v>306</v>
      </c>
      <c r="B139" t="s">
        <v>307</v>
      </c>
      <c r="C139" t="s">
        <v>44</v>
      </c>
      <c r="D139" t="s">
        <v>45</v>
      </c>
      <c r="E139">
        <v>2399</v>
      </c>
      <c r="F139">
        <v>999</v>
      </c>
      <c r="G139">
        <v>58</v>
      </c>
      <c r="H139">
        <v>1400</v>
      </c>
      <c r="I139" t="s">
        <v>64</v>
      </c>
      <c r="J139">
        <v>4.5999999999999996</v>
      </c>
      <c r="K139">
        <v>3664</v>
      </c>
      <c r="L139">
        <v>0.42031249999999998</v>
      </c>
      <c r="M139" t="s">
        <v>18</v>
      </c>
    </row>
    <row r="140" spans="1:13" x14ac:dyDescent="0.3">
      <c r="A140" t="s">
        <v>308</v>
      </c>
      <c r="B140" t="s">
        <v>309</v>
      </c>
      <c r="C140" t="s">
        <v>44</v>
      </c>
      <c r="D140" t="s">
        <v>124</v>
      </c>
      <c r="E140">
        <v>399</v>
      </c>
      <c r="F140">
        <v>399</v>
      </c>
      <c r="G140">
        <v>0</v>
      </c>
      <c r="H140">
        <v>0</v>
      </c>
      <c r="I140" t="s">
        <v>17</v>
      </c>
      <c r="J140">
        <v>3.9</v>
      </c>
      <c r="K140">
        <v>1951</v>
      </c>
      <c r="L140">
        <v>0.1078571428571428</v>
      </c>
      <c r="M140" t="s">
        <v>18</v>
      </c>
    </row>
    <row r="141" spans="1:13" x14ac:dyDescent="0.3">
      <c r="A141" t="s">
        <v>310</v>
      </c>
      <c r="B141" t="s">
        <v>311</v>
      </c>
      <c r="C141" t="s">
        <v>15</v>
      </c>
      <c r="D141" t="s">
        <v>16</v>
      </c>
      <c r="E141">
        <v>699</v>
      </c>
      <c r="F141">
        <v>349</v>
      </c>
      <c r="G141">
        <v>50</v>
      </c>
      <c r="H141">
        <v>350</v>
      </c>
      <c r="I141" t="s">
        <v>17</v>
      </c>
      <c r="J141">
        <v>4.3</v>
      </c>
      <c r="K141">
        <v>20850</v>
      </c>
      <c r="L141">
        <v>0.36069444444444437</v>
      </c>
      <c r="M141" t="s">
        <v>18</v>
      </c>
    </row>
    <row r="142" spans="1:13" x14ac:dyDescent="0.3">
      <c r="A142" t="s">
        <v>312</v>
      </c>
      <c r="B142" t="s">
        <v>313</v>
      </c>
      <c r="C142" t="s">
        <v>15</v>
      </c>
      <c r="D142" t="s">
        <v>16</v>
      </c>
      <c r="E142">
        <v>1099</v>
      </c>
      <c r="F142">
        <v>399</v>
      </c>
      <c r="G142">
        <v>64</v>
      </c>
      <c r="H142">
        <v>700</v>
      </c>
      <c r="I142" t="s">
        <v>17</v>
      </c>
      <c r="J142">
        <v>4.0999999999999996</v>
      </c>
      <c r="K142">
        <v>2685</v>
      </c>
      <c r="L142">
        <v>0.27411764705882352</v>
      </c>
      <c r="M142" t="s">
        <v>18</v>
      </c>
    </row>
    <row r="143" spans="1:13" x14ac:dyDescent="0.3">
      <c r="A143" t="s">
        <v>314</v>
      </c>
      <c r="B143" t="s">
        <v>315</v>
      </c>
      <c r="C143" t="s">
        <v>15</v>
      </c>
      <c r="D143" t="s">
        <v>35</v>
      </c>
      <c r="E143">
        <v>2999</v>
      </c>
      <c r="F143">
        <v>1699</v>
      </c>
      <c r="G143">
        <v>43</v>
      </c>
      <c r="H143">
        <v>1300</v>
      </c>
      <c r="I143" t="s">
        <v>167</v>
      </c>
      <c r="J143">
        <v>4.4000000000000004</v>
      </c>
      <c r="K143">
        <v>24780</v>
      </c>
      <c r="L143">
        <v>0.1981968641114982</v>
      </c>
      <c r="M143" t="s">
        <v>18</v>
      </c>
    </row>
    <row r="144" spans="1:13" x14ac:dyDescent="0.3">
      <c r="A144" t="s">
        <v>316</v>
      </c>
      <c r="B144" t="s">
        <v>317</v>
      </c>
      <c r="C144" t="s">
        <v>44</v>
      </c>
      <c r="D144" t="s">
        <v>124</v>
      </c>
      <c r="E144">
        <v>1099</v>
      </c>
      <c r="F144">
        <v>655</v>
      </c>
      <c r="G144">
        <v>40</v>
      </c>
      <c r="H144">
        <v>444</v>
      </c>
      <c r="I144" t="s">
        <v>64</v>
      </c>
      <c r="J144">
        <v>3.2</v>
      </c>
      <c r="K144">
        <v>285</v>
      </c>
      <c r="L144">
        <v>2.9530423280423199E-2</v>
      </c>
      <c r="M144" t="s">
        <v>103</v>
      </c>
    </row>
    <row r="145" spans="1:13" x14ac:dyDescent="0.3">
      <c r="A145" t="s">
        <v>318</v>
      </c>
      <c r="B145" t="s">
        <v>319</v>
      </c>
      <c r="C145" t="s">
        <v>15</v>
      </c>
      <c r="D145" t="s">
        <v>35</v>
      </c>
      <c r="E145">
        <v>1339</v>
      </c>
      <c r="F145">
        <v>749</v>
      </c>
      <c r="G145">
        <v>44</v>
      </c>
      <c r="H145">
        <v>590</v>
      </c>
      <c r="I145" t="s">
        <v>64</v>
      </c>
      <c r="J145">
        <v>4.2</v>
      </c>
      <c r="K145">
        <v>179692</v>
      </c>
      <c r="L145">
        <v>0.27894067135050737</v>
      </c>
      <c r="M145" t="s">
        <v>18</v>
      </c>
    </row>
    <row r="146" spans="1:13" x14ac:dyDescent="0.3">
      <c r="A146" t="s">
        <v>320</v>
      </c>
      <c r="B146" t="s">
        <v>321</v>
      </c>
      <c r="C146" t="s">
        <v>44</v>
      </c>
      <c r="D146" t="s">
        <v>54</v>
      </c>
      <c r="E146">
        <v>12999</v>
      </c>
      <c r="F146">
        <v>9999</v>
      </c>
      <c r="G146">
        <v>23</v>
      </c>
      <c r="H146">
        <v>3000</v>
      </c>
      <c r="I146" t="s">
        <v>55</v>
      </c>
      <c r="J146">
        <v>4.2</v>
      </c>
      <c r="K146">
        <v>6088</v>
      </c>
      <c r="L146">
        <v>0.18533333333333329</v>
      </c>
      <c r="M146" t="s">
        <v>18</v>
      </c>
    </row>
    <row r="147" spans="1:13" x14ac:dyDescent="0.3">
      <c r="A147" t="s">
        <v>322</v>
      </c>
      <c r="B147" t="s">
        <v>323</v>
      </c>
      <c r="C147" t="s">
        <v>44</v>
      </c>
      <c r="D147" t="s">
        <v>124</v>
      </c>
      <c r="E147">
        <v>499</v>
      </c>
      <c r="F147">
        <v>195</v>
      </c>
      <c r="G147">
        <v>61</v>
      </c>
      <c r="H147">
        <v>304</v>
      </c>
      <c r="I147" t="s">
        <v>17</v>
      </c>
      <c r="J147">
        <v>3.7</v>
      </c>
      <c r="K147">
        <v>1383</v>
      </c>
      <c r="L147">
        <v>-0.17976190476190479</v>
      </c>
      <c r="M147" t="s">
        <v>69</v>
      </c>
    </row>
    <row r="148" spans="1:13" x14ac:dyDescent="0.3">
      <c r="A148" t="s">
        <v>324</v>
      </c>
      <c r="B148" t="s">
        <v>325</v>
      </c>
      <c r="C148" t="s">
        <v>15</v>
      </c>
      <c r="D148" t="s">
        <v>16</v>
      </c>
      <c r="E148">
        <v>2100</v>
      </c>
      <c r="F148">
        <v>999</v>
      </c>
      <c r="G148">
        <v>52</v>
      </c>
      <c r="H148">
        <v>1101</v>
      </c>
      <c r="I148" t="s">
        <v>64</v>
      </c>
      <c r="J148">
        <v>4.5</v>
      </c>
      <c r="K148">
        <v>5492</v>
      </c>
      <c r="L148">
        <v>0.21111111111111111</v>
      </c>
      <c r="M148" t="s">
        <v>18</v>
      </c>
    </row>
    <row r="149" spans="1:13" x14ac:dyDescent="0.3">
      <c r="A149" t="s">
        <v>326</v>
      </c>
      <c r="B149" t="s">
        <v>327</v>
      </c>
      <c r="C149" t="s">
        <v>15</v>
      </c>
      <c r="D149" t="s">
        <v>16</v>
      </c>
      <c r="E149">
        <v>899</v>
      </c>
      <c r="F149">
        <v>499</v>
      </c>
      <c r="G149">
        <v>44</v>
      </c>
      <c r="H149">
        <v>400</v>
      </c>
      <c r="I149" t="s">
        <v>17</v>
      </c>
      <c r="J149">
        <v>4.2</v>
      </c>
      <c r="K149">
        <v>919</v>
      </c>
      <c r="L149">
        <v>0.31888888888888889</v>
      </c>
      <c r="M149" t="s">
        <v>18</v>
      </c>
    </row>
    <row r="150" spans="1:13" x14ac:dyDescent="0.3">
      <c r="A150" t="s">
        <v>328</v>
      </c>
      <c r="B150" t="s">
        <v>329</v>
      </c>
      <c r="C150" t="s">
        <v>44</v>
      </c>
      <c r="D150" t="s">
        <v>330</v>
      </c>
      <c r="E150">
        <v>599</v>
      </c>
      <c r="F150">
        <v>416</v>
      </c>
      <c r="G150">
        <v>31</v>
      </c>
      <c r="H150">
        <v>183</v>
      </c>
      <c r="I150" t="s">
        <v>17</v>
      </c>
      <c r="J150">
        <v>4.2</v>
      </c>
      <c r="K150">
        <v>30023</v>
      </c>
      <c r="L150">
        <v>0.2185185185185185</v>
      </c>
      <c r="M150" t="s">
        <v>18</v>
      </c>
    </row>
    <row r="151" spans="1:13" x14ac:dyDescent="0.3">
      <c r="A151" t="s">
        <v>331</v>
      </c>
      <c r="B151" t="s">
        <v>332</v>
      </c>
      <c r="C151" t="s">
        <v>15</v>
      </c>
      <c r="D151" t="s">
        <v>16</v>
      </c>
      <c r="E151">
        <v>699</v>
      </c>
      <c r="F151">
        <v>368</v>
      </c>
      <c r="G151">
        <v>47</v>
      </c>
      <c r="H151">
        <v>331</v>
      </c>
      <c r="I151" t="s">
        <v>17</v>
      </c>
      <c r="J151">
        <v>4.2</v>
      </c>
      <c r="K151">
        <v>387</v>
      </c>
      <c r="L151">
        <v>0.27090909090909088</v>
      </c>
      <c r="M151" t="s">
        <v>18</v>
      </c>
    </row>
    <row r="152" spans="1:13" x14ac:dyDescent="0.3">
      <c r="A152" t="s">
        <v>333</v>
      </c>
      <c r="B152" t="s">
        <v>334</v>
      </c>
      <c r="C152" t="s">
        <v>44</v>
      </c>
      <c r="D152" t="s">
        <v>54</v>
      </c>
      <c r="E152">
        <v>65000</v>
      </c>
      <c r="F152">
        <v>29990</v>
      </c>
      <c r="G152">
        <v>54</v>
      </c>
      <c r="H152">
        <v>35010</v>
      </c>
      <c r="I152" t="s">
        <v>102</v>
      </c>
      <c r="J152">
        <v>4.0999999999999996</v>
      </c>
      <c r="K152">
        <v>211</v>
      </c>
      <c r="L152">
        <v>0.21742875180375179</v>
      </c>
      <c r="M152" t="s">
        <v>18</v>
      </c>
    </row>
    <row r="153" spans="1:13" x14ac:dyDescent="0.3">
      <c r="A153" t="s">
        <v>335</v>
      </c>
      <c r="B153" t="s">
        <v>336</v>
      </c>
      <c r="C153" t="s">
        <v>15</v>
      </c>
      <c r="D153" t="s">
        <v>16</v>
      </c>
      <c r="E153">
        <v>1099</v>
      </c>
      <c r="F153">
        <v>339</v>
      </c>
      <c r="G153">
        <v>69</v>
      </c>
      <c r="H153">
        <v>760</v>
      </c>
      <c r="I153" t="s">
        <v>17</v>
      </c>
      <c r="J153">
        <v>4.3</v>
      </c>
      <c r="K153">
        <v>974</v>
      </c>
      <c r="L153">
        <v>0.1592857142857142</v>
      </c>
      <c r="M153" t="s">
        <v>18</v>
      </c>
    </row>
    <row r="154" spans="1:13" x14ac:dyDescent="0.3">
      <c r="A154" t="s">
        <v>337</v>
      </c>
      <c r="B154" t="s">
        <v>338</v>
      </c>
      <c r="C154" t="s">
        <v>44</v>
      </c>
      <c r="D154" t="s">
        <v>54</v>
      </c>
      <c r="E154">
        <v>20900</v>
      </c>
      <c r="F154">
        <v>15490</v>
      </c>
      <c r="G154">
        <v>26</v>
      </c>
      <c r="H154">
        <v>5410</v>
      </c>
      <c r="I154" t="s">
        <v>55</v>
      </c>
      <c r="J154">
        <v>4.3</v>
      </c>
      <c r="K154">
        <v>16299</v>
      </c>
      <c r="L154">
        <v>-0.1722448979591836</v>
      </c>
      <c r="M154" t="s">
        <v>69</v>
      </c>
    </row>
    <row r="155" spans="1:13" x14ac:dyDescent="0.3">
      <c r="A155" t="s">
        <v>339</v>
      </c>
      <c r="B155" t="s">
        <v>340</v>
      </c>
      <c r="C155" t="s">
        <v>15</v>
      </c>
      <c r="D155" t="s">
        <v>16</v>
      </c>
      <c r="E155">
        <v>1299</v>
      </c>
      <c r="F155">
        <v>499</v>
      </c>
      <c r="G155">
        <v>62</v>
      </c>
      <c r="H155">
        <v>800</v>
      </c>
      <c r="I155" t="s">
        <v>17</v>
      </c>
      <c r="J155">
        <v>4.3</v>
      </c>
      <c r="K155">
        <v>30411</v>
      </c>
      <c r="L155">
        <v>0.37604166666666661</v>
      </c>
      <c r="M155" t="s">
        <v>18</v>
      </c>
    </row>
    <row r="156" spans="1:13" x14ac:dyDescent="0.3">
      <c r="A156" t="s">
        <v>341</v>
      </c>
      <c r="B156" t="s">
        <v>342</v>
      </c>
      <c r="C156" t="s">
        <v>15</v>
      </c>
      <c r="D156" t="s">
        <v>35</v>
      </c>
      <c r="E156">
        <v>399</v>
      </c>
      <c r="F156">
        <v>249</v>
      </c>
      <c r="G156">
        <v>38</v>
      </c>
      <c r="H156">
        <v>150</v>
      </c>
      <c r="I156" t="s">
        <v>17</v>
      </c>
      <c r="J156">
        <v>3.4</v>
      </c>
      <c r="K156">
        <v>4642</v>
      </c>
      <c r="L156">
        <v>9.4113475177304895E-2</v>
      </c>
      <c r="M156" t="s">
        <v>103</v>
      </c>
    </row>
    <row r="157" spans="1:13" x14ac:dyDescent="0.3">
      <c r="A157" t="s">
        <v>343</v>
      </c>
      <c r="B157" t="s">
        <v>344</v>
      </c>
      <c r="C157" t="s">
        <v>44</v>
      </c>
      <c r="D157" t="s">
        <v>124</v>
      </c>
      <c r="E157">
        <v>799</v>
      </c>
      <c r="F157">
        <v>399</v>
      </c>
      <c r="G157">
        <v>50</v>
      </c>
      <c r="H157">
        <v>400</v>
      </c>
      <c r="I157" t="s">
        <v>17</v>
      </c>
      <c r="J157">
        <v>4.3</v>
      </c>
      <c r="K157">
        <v>12</v>
      </c>
      <c r="L157">
        <v>-0.59999999999999987</v>
      </c>
      <c r="M157" t="s">
        <v>69</v>
      </c>
    </row>
    <row r="158" spans="1:13" x14ac:dyDescent="0.3">
      <c r="A158" t="s">
        <v>345</v>
      </c>
      <c r="B158" t="s">
        <v>346</v>
      </c>
      <c r="C158" t="s">
        <v>15</v>
      </c>
      <c r="D158" t="s">
        <v>16</v>
      </c>
      <c r="E158">
        <v>1999</v>
      </c>
      <c r="F158">
        <v>1499</v>
      </c>
      <c r="G158">
        <v>25</v>
      </c>
      <c r="H158">
        <v>500</v>
      </c>
      <c r="I158" t="s">
        <v>64</v>
      </c>
      <c r="J158">
        <v>4.4000000000000004</v>
      </c>
      <c r="K158">
        <v>1951</v>
      </c>
      <c r="L158">
        <v>0.29713675213675211</v>
      </c>
      <c r="M158" t="s">
        <v>18</v>
      </c>
    </row>
    <row r="159" spans="1:13" x14ac:dyDescent="0.3">
      <c r="A159" t="s">
        <v>347</v>
      </c>
      <c r="B159" t="s">
        <v>348</v>
      </c>
      <c r="C159" t="s">
        <v>44</v>
      </c>
      <c r="D159" t="s">
        <v>349</v>
      </c>
      <c r="E159">
        <v>15990</v>
      </c>
      <c r="F159">
        <v>9490</v>
      </c>
      <c r="G159">
        <v>41</v>
      </c>
      <c r="H159">
        <v>6500</v>
      </c>
      <c r="I159" t="s">
        <v>55</v>
      </c>
      <c r="J159">
        <v>3.9</v>
      </c>
      <c r="K159">
        <v>10480</v>
      </c>
      <c r="L159">
        <v>0.2439614346227249</v>
      </c>
      <c r="M159" t="s">
        <v>18</v>
      </c>
    </row>
    <row r="160" spans="1:13" x14ac:dyDescent="0.3">
      <c r="A160" t="s">
        <v>350</v>
      </c>
      <c r="B160" t="s">
        <v>351</v>
      </c>
      <c r="C160" t="s">
        <v>44</v>
      </c>
      <c r="D160" t="s">
        <v>45</v>
      </c>
      <c r="E160">
        <v>1499</v>
      </c>
      <c r="F160">
        <v>637</v>
      </c>
      <c r="G160">
        <v>58</v>
      </c>
      <c r="H160">
        <v>862</v>
      </c>
      <c r="I160" t="s">
        <v>64</v>
      </c>
      <c r="J160">
        <v>4.0999999999999996</v>
      </c>
      <c r="K160">
        <v>24</v>
      </c>
      <c r="L160">
        <v>0.17587412587412579</v>
      </c>
      <c r="M160" t="s">
        <v>18</v>
      </c>
    </row>
    <row r="161" spans="1:13" x14ac:dyDescent="0.3">
      <c r="A161" t="s">
        <v>352</v>
      </c>
      <c r="B161" t="s">
        <v>353</v>
      </c>
      <c r="C161" t="s">
        <v>44</v>
      </c>
      <c r="D161" t="s">
        <v>124</v>
      </c>
      <c r="E161">
        <v>899</v>
      </c>
      <c r="F161">
        <v>399</v>
      </c>
      <c r="G161">
        <v>56</v>
      </c>
      <c r="H161">
        <v>500</v>
      </c>
      <c r="I161" t="s">
        <v>17</v>
      </c>
      <c r="J161">
        <v>3.9</v>
      </c>
      <c r="K161">
        <v>254</v>
      </c>
      <c r="L161">
        <v>0.11499999999999989</v>
      </c>
      <c r="M161" t="s">
        <v>18</v>
      </c>
    </row>
    <row r="162" spans="1:13" x14ac:dyDescent="0.3">
      <c r="A162" t="s">
        <v>354</v>
      </c>
      <c r="B162" t="s">
        <v>355</v>
      </c>
      <c r="C162" t="s">
        <v>44</v>
      </c>
      <c r="D162" t="s">
        <v>330</v>
      </c>
      <c r="E162">
        <v>1600</v>
      </c>
      <c r="F162">
        <v>1089</v>
      </c>
      <c r="G162">
        <v>32</v>
      </c>
      <c r="H162">
        <v>511</v>
      </c>
      <c r="I162" t="s">
        <v>64</v>
      </c>
      <c r="J162">
        <v>4</v>
      </c>
      <c r="K162">
        <v>3565</v>
      </c>
      <c r="L162">
        <v>0.14385822510822499</v>
      </c>
      <c r="M162" t="s">
        <v>18</v>
      </c>
    </row>
    <row r="163" spans="1:13" x14ac:dyDescent="0.3">
      <c r="A163" t="s">
        <v>356</v>
      </c>
      <c r="B163" t="s">
        <v>357</v>
      </c>
      <c r="C163" t="s">
        <v>15</v>
      </c>
      <c r="D163" t="s">
        <v>16</v>
      </c>
      <c r="E163">
        <v>999</v>
      </c>
      <c r="F163">
        <v>339</v>
      </c>
      <c r="G163">
        <v>66</v>
      </c>
      <c r="H163">
        <v>660</v>
      </c>
      <c r="I163" t="s">
        <v>17</v>
      </c>
      <c r="J163">
        <v>4.3</v>
      </c>
      <c r="K163">
        <v>6255</v>
      </c>
      <c r="L163">
        <v>0.17570105820105819</v>
      </c>
      <c r="M163" t="s">
        <v>18</v>
      </c>
    </row>
    <row r="164" spans="1:13" x14ac:dyDescent="0.3">
      <c r="A164" t="s">
        <v>358</v>
      </c>
      <c r="B164" t="s">
        <v>359</v>
      </c>
      <c r="C164" t="s">
        <v>15</v>
      </c>
      <c r="D164" t="s">
        <v>16</v>
      </c>
      <c r="E164">
        <v>499</v>
      </c>
      <c r="F164">
        <v>149</v>
      </c>
      <c r="G164">
        <v>70</v>
      </c>
      <c r="H164">
        <v>350</v>
      </c>
      <c r="I164" t="s">
        <v>17</v>
      </c>
      <c r="J164">
        <v>4</v>
      </c>
      <c r="K164">
        <v>7732</v>
      </c>
      <c r="L164">
        <v>0.30989583333333331</v>
      </c>
      <c r="M164" t="s">
        <v>18</v>
      </c>
    </row>
    <row r="165" spans="1:13" x14ac:dyDescent="0.3">
      <c r="A165" t="s">
        <v>360</v>
      </c>
      <c r="B165" t="s">
        <v>361</v>
      </c>
      <c r="C165" t="s">
        <v>15</v>
      </c>
      <c r="D165" t="s">
        <v>16</v>
      </c>
      <c r="E165">
        <v>399</v>
      </c>
      <c r="F165">
        <v>149</v>
      </c>
      <c r="G165">
        <v>63</v>
      </c>
      <c r="H165">
        <v>250</v>
      </c>
      <c r="I165" t="s">
        <v>17</v>
      </c>
      <c r="J165">
        <v>3.9</v>
      </c>
      <c r="K165">
        <v>57</v>
      </c>
      <c r="L165">
        <v>0.56944444444444453</v>
      </c>
      <c r="M165" t="s">
        <v>18</v>
      </c>
    </row>
    <row r="166" spans="1:13" x14ac:dyDescent="0.3">
      <c r="A166" t="s">
        <v>362</v>
      </c>
      <c r="B166" t="s">
        <v>363</v>
      </c>
      <c r="C166" t="s">
        <v>15</v>
      </c>
      <c r="D166" t="s">
        <v>16</v>
      </c>
      <c r="E166">
        <v>849</v>
      </c>
      <c r="F166">
        <v>599</v>
      </c>
      <c r="G166">
        <v>29</v>
      </c>
      <c r="H166">
        <v>250</v>
      </c>
      <c r="I166" t="s">
        <v>64</v>
      </c>
      <c r="J166">
        <v>4.5</v>
      </c>
      <c r="K166">
        <v>577</v>
      </c>
      <c r="L166">
        <v>0.2583333333333333</v>
      </c>
      <c r="M166" t="s">
        <v>18</v>
      </c>
    </row>
    <row r="167" spans="1:13" x14ac:dyDescent="0.3">
      <c r="A167" t="s">
        <v>364</v>
      </c>
      <c r="B167" t="s">
        <v>365</v>
      </c>
      <c r="C167" t="s">
        <v>44</v>
      </c>
      <c r="D167" t="s">
        <v>124</v>
      </c>
      <c r="E167">
        <v>1199</v>
      </c>
      <c r="F167">
        <v>299</v>
      </c>
      <c r="G167">
        <v>75</v>
      </c>
      <c r="H167">
        <v>900</v>
      </c>
      <c r="I167" t="s">
        <v>17</v>
      </c>
      <c r="J167">
        <v>3.9</v>
      </c>
      <c r="K167">
        <v>1193</v>
      </c>
      <c r="L167">
        <v>0.25154761904761902</v>
      </c>
      <c r="M167" t="s">
        <v>18</v>
      </c>
    </row>
    <row r="168" spans="1:13" x14ac:dyDescent="0.3">
      <c r="A168" t="s">
        <v>366</v>
      </c>
      <c r="B168" t="s">
        <v>367</v>
      </c>
      <c r="C168" t="s">
        <v>15</v>
      </c>
      <c r="D168" t="s">
        <v>16</v>
      </c>
      <c r="E168">
        <v>1299</v>
      </c>
      <c r="F168">
        <v>399</v>
      </c>
      <c r="G168">
        <v>69</v>
      </c>
      <c r="H168">
        <v>900</v>
      </c>
      <c r="I168" t="s">
        <v>17</v>
      </c>
      <c r="J168">
        <v>4.2</v>
      </c>
      <c r="K168">
        <v>13120</v>
      </c>
      <c r="L168">
        <v>0.25931372549019599</v>
      </c>
      <c r="M168" t="s">
        <v>18</v>
      </c>
    </row>
    <row r="169" spans="1:13" x14ac:dyDescent="0.3">
      <c r="A169" t="s">
        <v>368</v>
      </c>
      <c r="B169" t="s">
        <v>369</v>
      </c>
      <c r="C169" t="s">
        <v>44</v>
      </c>
      <c r="D169" t="s">
        <v>124</v>
      </c>
      <c r="E169">
        <v>1999</v>
      </c>
      <c r="F169">
        <v>339</v>
      </c>
      <c r="G169">
        <v>83</v>
      </c>
      <c r="H169">
        <v>1660</v>
      </c>
      <c r="I169" t="s">
        <v>17</v>
      </c>
      <c r="J169">
        <v>4</v>
      </c>
      <c r="K169">
        <v>343</v>
      </c>
      <c r="L169">
        <v>0.31666666666666671</v>
      </c>
      <c r="M169" t="s">
        <v>18</v>
      </c>
    </row>
    <row r="170" spans="1:13" x14ac:dyDescent="0.3">
      <c r="A170" t="s">
        <v>370</v>
      </c>
      <c r="B170" t="s">
        <v>371</v>
      </c>
      <c r="C170" t="s">
        <v>44</v>
      </c>
      <c r="D170" t="s">
        <v>54</v>
      </c>
      <c r="E170">
        <v>22990</v>
      </c>
      <c r="F170">
        <v>12499</v>
      </c>
      <c r="G170">
        <v>46</v>
      </c>
      <c r="H170">
        <v>10491</v>
      </c>
      <c r="I170" t="s">
        <v>55</v>
      </c>
      <c r="J170">
        <v>4.3</v>
      </c>
      <c r="K170">
        <v>1611</v>
      </c>
      <c r="L170">
        <v>0.32413886400955361</v>
      </c>
      <c r="M170" t="s">
        <v>18</v>
      </c>
    </row>
    <row r="171" spans="1:13" x14ac:dyDescent="0.3">
      <c r="A171" t="s">
        <v>372</v>
      </c>
      <c r="B171" t="s">
        <v>373</v>
      </c>
      <c r="C171" t="s">
        <v>15</v>
      </c>
      <c r="D171" t="s">
        <v>16</v>
      </c>
      <c r="E171">
        <v>399</v>
      </c>
      <c r="F171">
        <v>249</v>
      </c>
      <c r="G171">
        <v>38</v>
      </c>
      <c r="H171">
        <v>150</v>
      </c>
      <c r="I171" t="s">
        <v>17</v>
      </c>
      <c r="J171">
        <v>4</v>
      </c>
      <c r="K171">
        <v>6558</v>
      </c>
      <c r="L171">
        <v>0.28064102564102561</v>
      </c>
      <c r="M171" t="s">
        <v>18</v>
      </c>
    </row>
    <row r="172" spans="1:13" x14ac:dyDescent="0.3">
      <c r="A172" t="s">
        <v>374</v>
      </c>
      <c r="B172" t="s">
        <v>375</v>
      </c>
      <c r="C172" t="s">
        <v>15</v>
      </c>
      <c r="D172" t="s">
        <v>35</v>
      </c>
      <c r="E172">
        <v>2499</v>
      </c>
      <c r="F172">
        <v>1399</v>
      </c>
      <c r="G172">
        <v>44</v>
      </c>
      <c r="H172">
        <v>1100</v>
      </c>
      <c r="I172" t="s">
        <v>64</v>
      </c>
      <c r="J172">
        <v>4.4000000000000004</v>
      </c>
      <c r="K172">
        <v>23169</v>
      </c>
      <c r="L172">
        <v>0.34756198347107431</v>
      </c>
      <c r="M172" t="s">
        <v>18</v>
      </c>
    </row>
    <row r="173" spans="1:13" x14ac:dyDescent="0.3">
      <c r="A173" t="s">
        <v>376</v>
      </c>
      <c r="B173" t="s">
        <v>377</v>
      </c>
      <c r="C173" t="s">
        <v>44</v>
      </c>
      <c r="D173" t="s">
        <v>54</v>
      </c>
      <c r="E173">
        <v>47990</v>
      </c>
      <c r="F173">
        <v>32999</v>
      </c>
      <c r="G173">
        <v>31</v>
      </c>
      <c r="H173">
        <v>14991</v>
      </c>
      <c r="I173" t="s">
        <v>102</v>
      </c>
      <c r="J173">
        <v>4.3</v>
      </c>
      <c r="K173">
        <v>4703</v>
      </c>
      <c r="L173">
        <v>0.22760834670947019</v>
      </c>
      <c r="M173" t="s">
        <v>18</v>
      </c>
    </row>
    <row r="174" spans="1:13" x14ac:dyDescent="0.3">
      <c r="A174" t="s">
        <v>378</v>
      </c>
      <c r="B174" t="s">
        <v>379</v>
      </c>
      <c r="C174" t="s">
        <v>15</v>
      </c>
      <c r="D174" t="s">
        <v>16</v>
      </c>
      <c r="E174">
        <v>399</v>
      </c>
      <c r="F174">
        <v>149</v>
      </c>
      <c r="G174">
        <v>63</v>
      </c>
      <c r="H174">
        <v>250</v>
      </c>
      <c r="I174" t="s">
        <v>17</v>
      </c>
      <c r="J174">
        <v>4</v>
      </c>
      <c r="K174">
        <v>1423</v>
      </c>
      <c r="L174">
        <v>0.3668749999999999</v>
      </c>
      <c r="M174" t="s">
        <v>18</v>
      </c>
    </row>
    <row r="175" spans="1:13" x14ac:dyDescent="0.3">
      <c r="A175" t="s">
        <v>380</v>
      </c>
      <c r="B175" t="s">
        <v>381</v>
      </c>
      <c r="C175" t="s">
        <v>15</v>
      </c>
      <c r="D175" t="s">
        <v>16</v>
      </c>
      <c r="E175">
        <v>999</v>
      </c>
      <c r="F175">
        <v>325</v>
      </c>
      <c r="G175">
        <v>67</v>
      </c>
      <c r="H175">
        <v>674</v>
      </c>
      <c r="I175" t="s">
        <v>17</v>
      </c>
      <c r="J175">
        <v>4.3</v>
      </c>
      <c r="K175">
        <v>2651</v>
      </c>
      <c r="L175">
        <v>0.2377248677248677</v>
      </c>
      <c r="M175" t="s">
        <v>18</v>
      </c>
    </row>
    <row r="176" spans="1:13" x14ac:dyDescent="0.3">
      <c r="A176" t="s">
        <v>382</v>
      </c>
      <c r="B176" t="s">
        <v>383</v>
      </c>
      <c r="C176" t="s">
        <v>15</v>
      </c>
      <c r="D176" t="s">
        <v>16</v>
      </c>
      <c r="E176">
        <v>1999</v>
      </c>
      <c r="F176">
        <v>399</v>
      </c>
      <c r="G176">
        <v>80</v>
      </c>
      <c r="H176">
        <v>1600</v>
      </c>
      <c r="I176" t="s">
        <v>17</v>
      </c>
      <c r="J176">
        <v>5</v>
      </c>
      <c r="K176">
        <v>5</v>
      </c>
      <c r="L176">
        <v>0.49583333333333329</v>
      </c>
      <c r="M176" t="s">
        <v>18</v>
      </c>
    </row>
    <row r="177" spans="1:13" x14ac:dyDescent="0.3">
      <c r="A177" t="s">
        <v>384</v>
      </c>
      <c r="B177" t="s">
        <v>385</v>
      </c>
      <c r="C177" t="s">
        <v>15</v>
      </c>
      <c r="D177" t="s">
        <v>35</v>
      </c>
      <c r="E177">
        <v>499</v>
      </c>
      <c r="F177">
        <v>199</v>
      </c>
      <c r="G177">
        <v>60</v>
      </c>
      <c r="H177">
        <v>300</v>
      </c>
      <c r="I177" t="s">
        <v>17</v>
      </c>
      <c r="J177">
        <v>3.7</v>
      </c>
      <c r="K177">
        <v>612</v>
      </c>
      <c r="L177">
        <v>0.4745833333333333</v>
      </c>
      <c r="M177" t="s">
        <v>18</v>
      </c>
    </row>
    <row r="178" spans="1:13" x14ac:dyDescent="0.3">
      <c r="A178" t="s">
        <v>386</v>
      </c>
      <c r="B178" t="s">
        <v>387</v>
      </c>
      <c r="C178" t="s">
        <v>15</v>
      </c>
      <c r="D178" t="s">
        <v>16</v>
      </c>
      <c r="E178">
        <v>299</v>
      </c>
      <c r="F178">
        <v>88</v>
      </c>
      <c r="G178">
        <v>71</v>
      </c>
      <c r="H178">
        <v>211</v>
      </c>
      <c r="I178" t="s">
        <v>17</v>
      </c>
      <c r="J178">
        <v>4</v>
      </c>
      <c r="K178">
        <v>9378</v>
      </c>
      <c r="L178">
        <v>0.47333333333333327</v>
      </c>
      <c r="M178" t="s">
        <v>18</v>
      </c>
    </row>
    <row r="179" spans="1:13" x14ac:dyDescent="0.3">
      <c r="A179" t="s">
        <v>388</v>
      </c>
      <c r="B179" t="s">
        <v>389</v>
      </c>
      <c r="C179" t="s">
        <v>15</v>
      </c>
      <c r="D179" t="s">
        <v>16</v>
      </c>
      <c r="E179">
        <v>1099</v>
      </c>
      <c r="F179">
        <v>399</v>
      </c>
      <c r="G179">
        <v>64</v>
      </c>
      <c r="H179">
        <v>700</v>
      </c>
      <c r="I179" t="s">
        <v>17</v>
      </c>
      <c r="J179">
        <v>4.0999999999999996</v>
      </c>
      <c r="K179">
        <v>2685</v>
      </c>
      <c r="L179">
        <v>0.27411764705882352</v>
      </c>
      <c r="M179" t="s">
        <v>18</v>
      </c>
    </row>
    <row r="180" spans="1:13" x14ac:dyDescent="0.3">
      <c r="A180" t="s">
        <v>390</v>
      </c>
      <c r="B180" t="s">
        <v>391</v>
      </c>
      <c r="C180" t="s">
        <v>15</v>
      </c>
      <c r="D180" t="s">
        <v>16</v>
      </c>
      <c r="E180">
        <v>199</v>
      </c>
      <c r="F180">
        <v>57.89</v>
      </c>
      <c r="G180">
        <v>71</v>
      </c>
      <c r="H180">
        <v>141.11000000000001</v>
      </c>
      <c r="I180" t="s">
        <v>17</v>
      </c>
      <c r="J180">
        <v>4</v>
      </c>
      <c r="K180">
        <v>9378</v>
      </c>
      <c r="L180">
        <v>0.47333333333333327</v>
      </c>
      <c r="M180" t="s">
        <v>18</v>
      </c>
    </row>
    <row r="181" spans="1:13" x14ac:dyDescent="0.3">
      <c r="A181" t="s">
        <v>392</v>
      </c>
      <c r="B181" t="s">
        <v>393</v>
      </c>
      <c r="C181" t="s">
        <v>44</v>
      </c>
      <c r="D181" t="s">
        <v>124</v>
      </c>
      <c r="E181">
        <v>1999</v>
      </c>
      <c r="F181">
        <v>799</v>
      </c>
      <c r="G181">
        <v>60</v>
      </c>
      <c r="H181">
        <v>1200</v>
      </c>
      <c r="I181" t="s">
        <v>64</v>
      </c>
      <c r="J181">
        <v>3.3</v>
      </c>
      <c r="K181">
        <v>576</v>
      </c>
      <c r="L181">
        <v>-2.6262626262626199E-2</v>
      </c>
      <c r="M181" t="s">
        <v>103</v>
      </c>
    </row>
    <row r="182" spans="1:13" x14ac:dyDescent="0.3">
      <c r="A182" t="s">
        <v>394</v>
      </c>
      <c r="B182" t="s">
        <v>395</v>
      </c>
      <c r="C182" t="s">
        <v>44</v>
      </c>
      <c r="D182" t="s">
        <v>124</v>
      </c>
      <c r="E182">
        <v>499</v>
      </c>
      <c r="F182">
        <v>205</v>
      </c>
      <c r="G182">
        <v>59</v>
      </c>
      <c r="H182">
        <v>294</v>
      </c>
      <c r="I182" t="s">
        <v>17</v>
      </c>
      <c r="J182">
        <v>3.8</v>
      </c>
      <c r="K182">
        <v>313</v>
      </c>
      <c r="L182">
        <v>0.46111111111111108</v>
      </c>
      <c r="M182" t="s">
        <v>18</v>
      </c>
    </row>
    <row r="183" spans="1:13" x14ac:dyDescent="0.3">
      <c r="A183" t="s">
        <v>396</v>
      </c>
      <c r="B183" t="s">
        <v>397</v>
      </c>
      <c r="C183" t="s">
        <v>15</v>
      </c>
      <c r="D183" t="s">
        <v>16</v>
      </c>
      <c r="E183">
        <v>699</v>
      </c>
      <c r="F183">
        <v>299</v>
      </c>
      <c r="G183">
        <v>57</v>
      </c>
      <c r="H183">
        <v>400</v>
      </c>
      <c r="I183" t="s">
        <v>17</v>
      </c>
      <c r="J183">
        <v>4.0999999999999996</v>
      </c>
      <c r="K183">
        <v>2957</v>
      </c>
      <c r="L183">
        <v>0.13290123456790121</v>
      </c>
      <c r="M183" t="s">
        <v>18</v>
      </c>
    </row>
    <row r="184" spans="1:13" x14ac:dyDescent="0.3">
      <c r="A184" t="s">
        <v>398</v>
      </c>
      <c r="B184" t="s">
        <v>399</v>
      </c>
      <c r="C184" t="s">
        <v>15</v>
      </c>
      <c r="D184" t="s">
        <v>16</v>
      </c>
      <c r="E184">
        <v>999</v>
      </c>
      <c r="F184">
        <v>849</v>
      </c>
      <c r="G184">
        <v>15</v>
      </c>
      <c r="H184">
        <v>150</v>
      </c>
      <c r="I184" t="s">
        <v>64</v>
      </c>
      <c r="J184">
        <v>4.0999999999999996</v>
      </c>
      <c r="K184">
        <v>6736</v>
      </c>
      <c r="L184">
        <v>0.14124999999999999</v>
      </c>
      <c r="M184" t="s">
        <v>18</v>
      </c>
    </row>
    <row r="185" spans="1:13" x14ac:dyDescent="0.3">
      <c r="A185" t="s">
        <v>400</v>
      </c>
      <c r="B185" t="s">
        <v>401</v>
      </c>
      <c r="C185" t="s">
        <v>15</v>
      </c>
      <c r="D185" t="s">
        <v>16</v>
      </c>
      <c r="E185">
        <v>1999</v>
      </c>
      <c r="F185">
        <v>949</v>
      </c>
      <c r="G185">
        <v>53</v>
      </c>
      <c r="H185">
        <v>1050</v>
      </c>
      <c r="I185" t="s">
        <v>64</v>
      </c>
      <c r="J185">
        <v>4.4000000000000004</v>
      </c>
      <c r="K185">
        <v>13552</v>
      </c>
      <c r="L185">
        <v>0.35102564102564099</v>
      </c>
      <c r="M185" t="s">
        <v>18</v>
      </c>
    </row>
    <row r="186" spans="1:13" x14ac:dyDescent="0.3">
      <c r="A186" t="s">
        <v>402</v>
      </c>
      <c r="B186" t="s">
        <v>403</v>
      </c>
      <c r="C186" t="s">
        <v>15</v>
      </c>
      <c r="D186" t="s">
        <v>16</v>
      </c>
      <c r="E186">
        <v>1200</v>
      </c>
      <c r="F186">
        <v>499</v>
      </c>
      <c r="G186">
        <v>58</v>
      </c>
      <c r="H186">
        <v>701</v>
      </c>
      <c r="I186" t="s">
        <v>17</v>
      </c>
      <c r="J186">
        <v>4.3</v>
      </c>
      <c r="K186">
        <v>5451</v>
      </c>
      <c r="L186">
        <v>0.28763888888888889</v>
      </c>
      <c r="M186" t="s">
        <v>18</v>
      </c>
    </row>
    <row r="187" spans="1:13" x14ac:dyDescent="0.3">
      <c r="A187" t="s">
        <v>404</v>
      </c>
      <c r="B187" t="s">
        <v>405</v>
      </c>
      <c r="C187" t="s">
        <v>15</v>
      </c>
      <c r="D187" t="s">
        <v>16</v>
      </c>
      <c r="E187">
        <v>485</v>
      </c>
      <c r="F187">
        <v>299</v>
      </c>
      <c r="G187">
        <v>38</v>
      </c>
      <c r="H187">
        <v>186</v>
      </c>
      <c r="I187" t="s">
        <v>17</v>
      </c>
      <c r="J187">
        <v>4.3</v>
      </c>
      <c r="K187">
        <v>10911</v>
      </c>
      <c r="L187">
        <v>0.60142857142857142</v>
      </c>
      <c r="M187" t="s">
        <v>18</v>
      </c>
    </row>
    <row r="188" spans="1:13" x14ac:dyDescent="0.3">
      <c r="A188" t="s">
        <v>406</v>
      </c>
      <c r="B188" t="s">
        <v>407</v>
      </c>
      <c r="C188" t="s">
        <v>15</v>
      </c>
      <c r="D188" t="s">
        <v>16</v>
      </c>
      <c r="E188">
        <v>1999</v>
      </c>
      <c r="F188">
        <v>949</v>
      </c>
      <c r="G188">
        <v>53</v>
      </c>
      <c r="H188">
        <v>1050</v>
      </c>
      <c r="I188" t="s">
        <v>64</v>
      </c>
      <c r="J188">
        <v>4.4000000000000004</v>
      </c>
      <c r="K188">
        <v>13552</v>
      </c>
      <c r="L188">
        <v>0.35102564102564099</v>
      </c>
      <c r="M188" t="s">
        <v>18</v>
      </c>
    </row>
    <row r="189" spans="1:13" x14ac:dyDescent="0.3">
      <c r="A189" t="s">
        <v>408</v>
      </c>
      <c r="B189" t="s">
        <v>409</v>
      </c>
      <c r="C189" t="s">
        <v>15</v>
      </c>
      <c r="D189" t="s">
        <v>16</v>
      </c>
      <c r="E189">
        <v>1099</v>
      </c>
      <c r="F189">
        <v>379</v>
      </c>
      <c r="G189">
        <v>66</v>
      </c>
      <c r="H189">
        <v>720</v>
      </c>
      <c r="I189" t="s">
        <v>17</v>
      </c>
      <c r="J189">
        <v>4.3</v>
      </c>
      <c r="K189">
        <v>2806</v>
      </c>
      <c r="L189">
        <v>0.37114425505050502</v>
      </c>
      <c r="M189" t="s">
        <v>18</v>
      </c>
    </row>
    <row r="190" spans="1:13" x14ac:dyDescent="0.3">
      <c r="A190" t="s">
        <v>410</v>
      </c>
      <c r="B190" t="s">
        <v>411</v>
      </c>
      <c r="C190" t="s">
        <v>44</v>
      </c>
      <c r="D190" t="s">
        <v>54</v>
      </c>
      <c r="E190">
        <v>18990</v>
      </c>
      <c r="F190">
        <v>8990</v>
      </c>
      <c r="G190">
        <v>53</v>
      </c>
      <c r="H190">
        <v>10000</v>
      </c>
      <c r="I190" t="s">
        <v>55</v>
      </c>
      <c r="J190">
        <v>3.9</v>
      </c>
      <c r="K190">
        <v>350</v>
      </c>
      <c r="L190">
        <v>0.42222222222222222</v>
      </c>
      <c r="M190" t="s">
        <v>18</v>
      </c>
    </row>
    <row r="191" spans="1:13" x14ac:dyDescent="0.3">
      <c r="A191" t="s">
        <v>412</v>
      </c>
      <c r="B191" t="s">
        <v>413</v>
      </c>
      <c r="C191" t="s">
        <v>44</v>
      </c>
      <c r="D191" t="s">
        <v>330</v>
      </c>
      <c r="E191">
        <v>1999</v>
      </c>
      <c r="F191">
        <v>486</v>
      </c>
      <c r="G191">
        <v>76</v>
      </c>
      <c r="H191">
        <v>1513</v>
      </c>
      <c r="I191" t="s">
        <v>17</v>
      </c>
      <c r="J191">
        <v>4.2</v>
      </c>
      <c r="K191">
        <v>30023</v>
      </c>
      <c r="L191">
        <v>0.2185185185185185</v>
      </c>
      <c r="M191" t="s">
        <v>18</v>
      </c>
    </row>
    <row r="192" spans="1:13" x14ac:dyDescent="0.3">
      <c r="A192" t="s">
        <v>414</v>
      </c>
      <c r="B192" t="s">
        <v>415</v>
      </c>
      <c r="C192" t="s">
        <v>44</v>
      </c>
      <c r="D192" t="s">
        <v>135</v>
      </c>
      <c r="E192">
        <v>11000</v>
      </c>
      <c r="F192">
        <v>5699</v>
      </c>
      <c r="G192">
        <v>48</v>
      </c>
      <c r="H192">
        <v>5301</v>
      </c>
      <c r="I192" t="s">
        <v>55</v>
      </c>
      <c r="J192">
        <v>4.2</v>
      </c>
      <c r="K192">
        <v>4003</v>
      </c>
      <c r="L192">
        <v>0.19174174174174169</v>
      </c>
      <c r="M192" t="s">
        <v>18</v>
      </c>
    </row>
    <row r="193" spans="1:13" x14ac:dyDescent="0.3">
      <c r="A193" t="s">
        <v>416</v>
      </c>
      <c r="B193" t="s">
        <v>417</v>
      </c>
      <c r="C193" t="s">
        <v>15</v>
      </c>
      <c r="D193" t="s">
        <v>16</v>
      </c>
      <c r="E193">
        <v>1999</v>
      </c>
      <c r="F193">
        <v>709</v>
      </c>
      <c r="G193">
        <v>65</v>
      </c>
      <c r="H193">
        <v>1290</v>
      </c>
      <c r="I193" t="s">
        <v>64</v>
      </c>
      <c r="J193">
        <v>4.0999999999999996</v>
      </c>
      <c r="K193">
        <v>178817</v>
      </c>
      <c r="L193">
        <v>0.2151234567901234</v>
      </c>
      <c r="M193" t="s">
        <v>18</v>
      </c>
    </row>
    <row r="194" spans="1:13" x14ac:dyDescent="0.3">
      <c r="A194" t="s">
        <v>418</v>
      </c>
      <c r="B194" t="s">
        <v>419</v>
      </c>
      <c r="C194" t="s">
        <v>44</v>
      </c>
      <c r="D194" t="s">
        <v>54</v>
      </c>
      <c r="E194">
        <v>70900</v>
      </c>
      <c r="F194">
        <v>47990</v>
      </c>
      <c r="G194">
        <v>32</v>
      </c>
      <c r="H194">
        <v>22910</v>
      </c>
      <c r="I194" t="s">
        <v>102</v>
      </c>
      <c r="J194">
        <v>4.3</v>
      </c>
      <c r="K194">
        <v>7109</v>
      </c>
      <c r="L194">
        <v>0.1728298861632194</v>
      </c>
      <c r="M194" t="s">
        <v>18</v>
      </c>
    </row>
    <row r="195" spans="1:13" x14ac:dyDescent="0.3">
      <c r="A195" t="s">
        <v>420</v>
      </c>
      <c r="B195" t="s">
        <v>421</v>
      </c>
      <c r="C195" t="s">
        <v>44</v>
      </c>
      <c r="D195" t="s">
        <v>124</v>
      </c>
      <c r="E195">
        <v>1199</v>
      </c>
      <c r="F195">
        <v>299</v>
      </c>
      <c r="G195">
        <v>75</v>
      </c>
      <c r="H195">
        <v>900</v>
      </c>
      <c r="I195" t="s">
        <v>17</v>
      </c>
      <c r="J195">
        <v>3.7</v>
      </c>
      <c r="K195">
        <v>490</v>
      </c>
      <c r="L195">
        <v>0.33199404761904761</v>
      </c>
      <c r="M195" t="s">
        <v>18</v>
      </c>
    </row>
    <row r="196" spans="1:13" x14ac:dyDescent="0.3">
      <c r="A196" t="s">
        <v>422</v>
      </c>
      <c r="B196" t="s">
        <v>423</v>
      </c>
      <c r="C196" t="s">
        <v>15</v>
      </c>
      <c r="D196" t="s">
        <v>16</v>
      </c>
      <c r="E196">
        <v>599</v>
      </c>
      <c r="F196">
        <v>320</v>
      </c>
      <c r="G196">
        <v>47</v>
      </c>
      <c r="H196">
        <v>279</v>
      </c>
      <c r="I196" t="s">
        <v>17</v>
      </c>
      <c r="J196">
        <v>4.0999999999999996</v>
      </c>
      <c r="K196">
        <v>491</v>
      </c>
      <c r="L196">
        <v>0.19507575757575751</v>
      </c>
      <c r="M196" t="s">
        <v>18</v>
      </c>
    </row>
    <row r="197" spans="1:13" x14ac:dyDescent="0.3">
      <c r="A197" t="s">
        <v>424</v>
      </c>
      <c r="B197" t="s">
        <v>425</v>
      </c>
      <c r="C197" t="s">
        <v>15</v>
      </c>
      <c r="D197" t="s">
        <v>16</v>
      </c>
      <c r="E197">
        <v>549</v>
      </c>
      <c r="F197">
        <v>139</v>
      </c>
      <c r="G197">
        <v>75</v>
      </c>
      <c r="H197">
        <v>410</v>
      </c>
      <c r="I197" t="s">
        <v>17</v>
      </c>
      <c r="J197">
        <v>3.9</v>
      </c>
      <c r="K197">
        <v>61</v>
      </c>
      <c r="L197">
        <v>-2.70833333333333E-2</v>
      </c>
      <c r="M197" t="s">
        <v>103</v>
      </c>
    </row>
    <row r="198" spans="1:13" x14ac:dyDescent="0.3">
      <c r="A198" t="s">
        <v>426</v>
      </c>
      <c r="B198" t="s">
        <v>427</v>
      </c>
      <c r="C198" t="s">
        <v>15</v>
      </c>
      <c r="D198" t="s">
        <v>16</v>
      </c>
      <c r="E198">
        <v>249</v>
      </c>
      <c r="F198">
        <v>129</v>
      </c>
      <c r="G198">
        <v>48</v>
      </c>
      <c r="H198">
        <v>120</v>
      </c>
      <c r="I198" t="s">
        <v>17</v>
      </c>
      <c r="J198">
        <v>4</v>
      </c>
      <c r="K198">
        <v>9378</v>
      </c>
      <c r="L198">
        <v>0.47333333333333327</v>
      </c>
      <c r="M198" t="s">
        <v>18</v>
      </c>
    </row>
    <row r="199" spans="1:13" x14ac:dyDescent="0.3">
      <c r="A199" t="s">
        <v>428</v>
      </c>
      <c r="B199" t="s">
        <v>429</v>
      </c>
      <c r="C199" t="s">
        <v>44</v>
      </c>
      <c r="D199" t="s">
        <v>54</v>
      </c>
      <c r="E199">
        <v>35999</v>
      </c>
      <c r="F199">
        <v>24999</v>
      </c>
      <c r="G199">
        <v>31</v>
      </c>
      <c r="H199">
        <v>11000</v>
      </c>
      <c r="I199" t="s">
        <v>102</v>
      </c>
      <c r="J199">
        <v>4.2</v>
      </c>
      <c r="K199">
        <v>32840</v>
      </c>
      <c r="L199">
        <v>0.4046153846153846</v>
      </c>
      <c r="M199" t="s">
        <v>18</v>
      </c>
    </row>
    <row r="200" spans="1:13" x14ac:dyDescent="0.3">
      <c r="A200" t="s">
        <v>430</v>
      </c>
      <c r="B200" t="s">
        <v>431</v>
      </c>
      <c r="C200" t="s">
        <v>15</v>
      </c>
      <c r="D200" t="s">
        <v>16</v>
      </c>
      <c r="E200">
        <v>1699</v>
      </c>
      <c r="F200">
        <v>999</v>
      </c>
      <c r="G200">
        <v>41</v>
      </c>
      <c r="H200">
        <v>700</v>
      </c>
      <c r="I200" t="s">
        <v>64</v>
      </c>
      <c r="J200">
        <v>4.4000000000000004</v>
      </c>
      <c r="K200">
        <v>7318</v>
      </c>
      <c r="L200">
        <v>9.2738095238095203E-2</v>
      </c>
      <c r="M200" t="s">
        <v>103</v>
      </c>
    </row>
    <row r="201" spans="1:13" x14ac:dyDescent="0.3">
      <c r="A201" t="s">
        <v>432</v>
      </c>
      <c r="B201" t="s">
        <v>433</v>
      </c>
      <c r="C201" t="s">
        <v>15</v>
      </c>
      <c r="D201" t="s">
        <v>16</v>
      </c>
      <c r="E201">
        <v>499</v>
      </c>
      <c r="F201">
        <v>225</v>
      </c>
      <c r="G201">
        <v>55</v>
      </c>
      <c r="H201">
        <v>274</v>
      </c>
      <c r="I201" t="s">
        <v>17</v>
      </c>
      <c r="J201">
        <v>4.0999999999999996</v>
      </c>
      <c r="K201">
        <v>789</v>
      </c>
      <c r="L201">
        <v>0.3555555555555554</v>
      </c>
      <c r="M201" t="s">
        <v>18</v>
      </c>
    </row>
    <row r="202" spans="1:13" x14ac:dyDescent="0.3">
      <c r="A202" t="s">
        <v>434</v>
      </c>
      <c r="B202" t="s">
        <v>435</v>
      </c>
      <c r="C202" t="s">
        <v>44</v>
      </c>
      <c r="D202" t="s">
        <v>124</v>
      </c>
      <c r="E202">
        <v>2999</v>
      </c>
      <c r="F202">
        <v>547</v>
      </c>
      <c r="G202">
        <v>82</v>
      </c>
      <c r="H202">
        <v>2452</v>
      </c>
      <c r="I202" t="s">
        <v>64</v>
      </c>
      <c r="J202">
        <v>4.3</v>
      </c>
      <c r="K202">
        <v>407</v>
      </c>
      <c r="L202">
        <v>0.42012499999999992</v>
      </c>
      <c r="M202" t="s">
        <v>18</v>
      </c>
    </row>
    <row r="203" spans="1:13" x14ac:dyDescent="0.3">
      <c r="A203" t="s">
        <v>436</v>
      </c>
      <c r="B203" t="s">
        <v>437</v>
      </c>
      <c r="C203" t="s">
        <v>15</v>
      </c>
      <c r="D203" t="s">
        <v>16</v>
      </c>
      <c r="E203">
        <v>699</v>
      </c>
      <c r="F203">
        <v>259</v>
      </c>
      <c r="G203">
        <v>63</v>
      </c>
      <c r="H203">
        <v>440</v>
      </c>
      <c r="I203" t="s">
        <v>17</v>
      </c>
      <c r="J203">
        <v>3.8</v>
      </c>
      <c r="K203">
        <v>2399</v>
      </c>
      <c r="L203">
        <v>0.58000000000000007</v>
      </c>
      <c r="M203" t="s">
        <v>18</v>
      </c>
    </row>
    <row r="204" spans="1:13" x14ac:dyDescent="0.3">
      <c r="A204" t="s">
        <v>438</v>
      </c>
      <c r="B204" t="s">
        <v>439</v>
      </c>
      <c r="C204" t="s">
        <v>44</v>
      </c>
      <c r="D204" t="s">
        <v>124</v>
      </c>
      <c r="E204">
        <v>699</v>
      </c>
      <c r="F204">
        <v>239</v>
      </c>
      <c r="G204">
        <v>66</v>
      </c>
      <c r="H204">
        <v>460</v>
      </c>
      <c r="I204" t="s">
        <v>17</v>
      </c>
      <c r="J204">
        <v>4.4000000000000004</v>
      </c>
      <c r="K204">
        <v>2640</v>
      </c>
      <c r="L204">
        <v>0.29617647058823537</v>
      </c>
      <c r="M204" t="s">
        <v>18</v>
      </c>
    </row>
    <row r="205" spans="1:13" x14ac:dyDescent="0.3">
      <c r="A205" t="s">
        <v>440</v>
      </c>
      <c r="B205" t="s">
        <v>441</v>
      </c>
      <c r="C205" t="s">
        <v>44</v>
      </c>
      <c r="D205" t="s">
        <v>124</v>
      </c>
      <c r="E205">
        <v>999</v>
      </c>
      <c r="F205">
        <v>349</v>
      </c>
      <c r="G205">
        <v>65</v>
      </c>
      <c r="H205">
        <v>650</v>
      </c>
      <c r="I205" t="s">
        <v>17</v>
      </c>
      <c r="J205">
        <v>4</v>
      </c>
      <c r="K205">
        <v>839</v>
      </c>
      <c r="L205">
        <v>9.9549973835688102E-2</v>
      </c>
      <c r="M205" t="s">
        <v>103</v>
      </c>
    </row>
    <row r="206" spans="1:13" x14ac:dyDescent="0.3">
      <c r="A206" t="s">
        <v>442</v>
      </c>
      <c r="B206" t="s">
        <v>443</v>
      </c>
      <c r="C206" t="s">
        <v>44</v>
      </c>
      <c r="D206" t="s">
        <v>45</v>
      </c>
      <c r="E206">
        <v>599</v>
      </c>
      <c r="F206">
        <v>467</v>
      </c>
      <c r="G206">
        <v>22</v>
      </c>
      <c r="H206">
        <v>132</v>
      </c>
      <c r="I206" t="s">
        <v>17</v>
      </c>
      <c r="J206">
        <v>4.4000000000000004</v>
      </c>
      <c r="K206">
        <v>44054</v>
      </c>
      <c r="L206">
        <v>0.60357142857142854</v>
      </c>
      <c r="M206" t="s">
        <v>18</v>
      </c>
    </row>
    <row r="207" spans="1:13" x14ac:dyDescent="0.3">
      <c r="A207" t="s">
        <v>444</v>
      </c>
      <c r="B207" t="s">
        <v>445</v>
      </c>
      <c r="C207" t="s">
        <v>15</v>
      </c>
      <c r="D207" t="s">
        <v>16</v>
      </c>
      <c r="E207">
        <v>599</v>
      </c>
      <c r="F207">
        <v>449</v>
      </c>
      <c r="G207">
        <v>25</v>
      </c>
      <c r="H207">
        <v>150</v>
      </c>
      <c r="I207" t="s">
        <v>17</v>
      </c>
      <c r="J207">
        <v>4</v>
      </c>
      <c r="K207">
        <v>3231</v>
      </c>
      <c r="L207">
        <v>0.2720200254291163</v>
      </c>
      <c r="M207" t="s">
        <v>18</v>
      </c>
    </row>
    <row r="208" spans="1:13" x14ac:dyDescent="0.3">
      <c r="A208" t="s">
        <v>446</v>
      </c>
      <c r="B208" t="s">
        <v>447</v>
      </c>
      <c r="C208" t="s">
        <v>44</v>
      </c>
      <c r="D208" t="s">
        <v>54</v>
      </c>
      <c r="E208">
        <v>31990</v>
      </c>
      <c r="F208">
        <v>11990</v>
      </c>
      <c r="G208">
        <v>63</v>
      </c>
      <c r="H208">
        <v>20000</v>
      </c>
      <c r="I208" t="s">
        <v>55</v>
      </c>
      <c r="J208">
        <v>4.2</v>
      </c>
      <c r="K208">
        <v>64</v>
      </c>
      <c r="L208">
        <v>0.30285714285714282</v>
      </c>
      <c r="M208" t="s">
        <v>18</v>
      </c>
    </row>
    <row r="209" spans="1:13" x14ac:dyDescent="0.3">
      <c r="A209" t="s">
        <v>448</v>
      </c>
      <c r="B209" t="s">
        <v>449</v>
      </c>
      <c r="C209" t="s">
        <v>15</v>
      </c>
      <c r="D209" t="s">
        <v>16</v>
      </c>
      <c r="E209">
        <v>599</v>
      </c>
      <c r="F209">
        <v>350</v>
      </c>
      <c r="G209">
        <v>42</v>
      </c>
      <c r="H209">
        <v>249</v>
      </c>
      <c r="I209" t="s">
        <v>17</v>
      </c>
      <c r="J209">
        <v>3.9</v>
      </c>
      <c r="K209">
        <v>8314</v>
      </c>
      <c r="L209">
        <v>0.1004150119852599</v>
      </c>
      <c r="M209" t="s">
        <v>18</v>
      </c>
    </row>
    <row r="210" spans="1:13" x14ac:dyDescent="0.3">
      <c r="A210" t="s">
        <v>450</v>
      </c>
      <c r="B210" t="s">
        <v>451</v>
      </c>
      <c r="C210" t="s">
        <v>15</v>
      </c>
      <c r="D210" t="s">
        <v>16</v>
      </c>
      <c r="E210">
        <v>999</v>
      </c>
      <c r="F210">
        <v>252</v>
      </c>
      <c r="G210">
        <v>75</v>
      </c>
      <c r="H210">
        <v>747</v>
      </c>
      <c r="I210" t="s">
        <v>17</v>
      </c>
      <c r="J210">
        <v>3.7</v>
      </c>
      <c r="K210">
        <v>2249</v>
      </c>
      <c r="L210">
        <v>0.36282051282051281</v>
      </c>
      <c r="M210" t="s">
        <v>18</v>
      </c>
    </row>
    <row r="211" spans="1:13" x14ac:dyDescent="0.3">
      <c r="A211" t="s">
        <v>452</v>
      </c>
      <c r="B211" t="s">
        <v>453</v>
      </c>
      <c r="C211" t="s">
        <v>44</v>
      </c>
      <c r="D211" t="s">
        <v>124</v>
      </c>
      <c r="E211">
        <v>599</v>
      </c>
      <c r="F211">
        <v>204</v>
      </c>
      <c r="G211">
        <v>66</v>
      </c>
      <c r="H211">
        <v>395</v>
      </c>
      <c r="I211" t="s">
        <v>17</v>
      </c>
      <c r="J211">
        <v>3.6</v>
      </c>
      <c r="K211">
        <v>339</v>
      </c>
      <c r="L211">
        <v>0.1512667887667887</v>
      </c>
      <c r="M211" t="s">
        <v>18</v>
      </c>
    </row>
    <row r="212" spans="1:13" x14ac:dyDescent="0.3">
      <c r="A212" t="s">
        <v>454</v>
      </c>
      <c r="B212" t="s">
        <v>455</v>
      </c>
      <c r="C212" t="s">
        <v>44</v>
      </c>
      <c r="D212" t="s">
        <v>349</v>
      </c>
      <c r="E212">
        <v>9990</v>
      </c>
      <c r="F212">
        <v>6490</v>
      </c>
      <c r="G212">
        <v>35</v>
      </c>
      <c r="H212">
        <v>3500</v>
      </c>
      <c r="I212" t="s">
        <v>55</v>
      </c>
      <c r="J212">
        <v>4</v>
      </c>
      <c r="K212">
        <v>27</v>
      </c>
      <c r="L212">
        <v>0.26954923930921049</v>
      </c>
      <c r="M212" t="s">
        <v>18</v>
      </c>
    </row>
    <row r="213" spans="1:13" x14ac:dyDescent="0.3">
      <c r="A213" t="s">
        <v>456</v>
      </c>
      <c r="B213" t="s">
        <v>457</v>
      </c>
      <c r="C213" t="s">
        <v>44</v>
      </c>
      <c r="D213" t="s">
        <v>124</v>
      </c>
      <c r="E213">
        <v>599</v>
      </c>
      <c r="F213">
        <v>235</v>
      </c>
      <c r="G213">
        <v>61</v>
      </c>
      <c r="H213">
        <v>364</v>
      </c>
      <c r="I213" t="s">
        <v>17</v>
      </c>
      <c r="J213">
        <v>3.5</v>
      </c>
      <c r="K213">
        <v>197</v>
      </c>
      <c r="L213">
        <v>0.1328125</v>
      </c>
      <c r="M213" t="s">
        <v>18</v>
      </c>
    </row>
    <row r="214" spans="1:13" x14ac:dyDescent="0.3">
      <c r="A214" t="s">
        <v>458</v>
      </c>
      <c r="B214" t="s">
        <v>459</v>
      </c>
      <c r="C214" t="s">
        <v>15</v>
      </c>
      <c r="D214" t="s">
        <v>16</v>
      </c>
      <c r="E214">
        <v>800</v>
      </c>
      <c r="F214">
        <v>299</v>
      </c>
      <c r="G214">
        <v>63</v>
      </c>
      <c r="H214">
        <v>501</v>
      </c>
      <c r="I214" t="s">
        <v>17</v>
      </c>
      <c r="J214">
        <v>4.5</v>
      </c>
      <c r="K214">
        <v>74977</v>
      </c>
      <c r="L214">
        <v>0.1986274509803922</v>
      </c>
      <c r="M214" t="s">
        <v>18</v>
      </c>
    </row>
    <row r="215" spans="1:13" x14ac:dyDescent="0.3">
      <c r="A215" t="s">
        <v>460</v>
      </c>
      <c r="B215" t="s">
        <v>461</v>
      </c>
      <c r="C215" t="s">
        <v>15</v>
      </c>
      <c r="D215" t="s">
        <v>16</v>
      </c>
      <c r="E215">
        <v>1999</v>
      </c>
      <c r="F215">
        <v>799</v>
      </c>
      <c r="G215">
        <v>60</v>
      </c>
      <c r="H215">
        <v>1200</v>
      </c>
      <c r="I215" t="s">
        <v>64</v>
      </c>
      <c r="J215">
        <v>4.2</v>
      </c>
      <c r="K215">
        <v>8583</v>
      </c>
      <c r="L215">
        <v>0.29772727272727278</v>
      </c>
      <c r="M215" t="s">
        <v>18</v>
      </c>
    </row>
    <row r="216" spans="1:13" x14ac:dyDescent="0.3">
      <c r="A216" t="s">
        <v>462</v>
      </c>
      <c r="B216" t="s">
        <v>463</v>
      </c>
      <c r="C216" t="s">
        <v>44</v>
      </c>
      <c r="D216" t="s">
        <v>124</v>
      </c>
      <c r="E216">
        <v>999</v>
      </c>
      <c r="F216">
        <v>299</v>
      </c>
      <c r="G216">
        <v>70</v>
      </c>
      <c r="H216">
        <v>700</v>
      </c>
      <c r="I216" t="s">
        <v>17</v>
      </c>
      <c r="J216">
        <v>3.8</v>
      </c>
      <c r="K216">
        <v>928</v>
      </c>
      <c r="L216">
        <v>9.5156695156695101E-2</v>
      </c>
      <c r="M216" t="s">
        <v>103</v>
      </c>
    </row>
    <row r="217" spans="1:13" x14ac:dyDescent="0.3">
      <c r="A217" t="s">
        <v>464</v>
      </c>
      <c r="B217" t="s">
        <v>465</v>
      </c>
      <c r="C217" t="s">
        <v>44</v>
      </c>
      <c r="D217" t="s">
        <v>135</v>
      </c>
      <c r="E217">
        <v>16990</v>
      </c>
      <c r="F217">
        <v>6999</v>
      </c>
      <c r="G217">
        <v>59</v>
      </c>
      <c r="H217">
        <v>9991</v>
      </c>
      <c r="I217" t="s">
        <v>55</v>
      </c>
      <c r="J217">
        <v>3.8</v>
      </c>
      <c r="K217">
        <v>110</v>
      </c>
      <c r="L217">
        <v>0.5083333333333333</v>
      </c>
      <c r="M217" t="s">
        <v>18</v>
      </c>
    </row>
    <row r="218" spans="1:13" x14ac:dyDescent="0.3">
      <c r="A218" t="s">
        <v>466</v>
      </c>
      <c r="B218" t="s">
        <v>467</v>
      </c>
      <c r="C218" t="s">
        <v>44</v>
      </c>
      <c r="D218" t="s">
        <v>54</v>
      </c>
      <c r="E218">
        <v>59999</v>
      </c>
      <c r="F218">
        <v>42999</v>
      </c>
      <c r="G218">
        <v>28</v>
      </c>
      <c r="H218">
        <v>17000</v>
      </c>
      <c r="I218" t="s">
        <v>102</v>
      </c>
      <c r="J218">
        <v>4.0999999999999996</v>
      </c>
      <c r="K218">
        <v>6753</v>
      </c>
      <c r="L218">
        <v>0.17936355311355309</v>
      </c>
      <c r="M218" t="s">
        <v>18</v>
      </c>
    </row>
    <row r="219" spans="1:13" x14ac:dyDescent="0.3">
      <c r="A219" t="s">
        <v>468</v>
      </c>
      <c r="B219" t="s">
        <v>469</v>
      </c>
      <c r="C219" t="s">
        <v>44</v>
      </c>
      <c r="D219" t="s">
        <v>45</v>
      </c>
      <c r="E219">
        <v>999</v>
      </c>
      <c r="F219">
        <v>173</v>
      </c>
      <c r="G219">
        <v>83</v>
      </c>
      <c r="H219">
        <v>826</v>
      </c>
      <c r="I219" t="s">
        <v>17</v>
      </c>
      <c r="J219">
        <v>4.3</v>
      </c>
      <c r="K219">
        <v>1237</v>
      </c>
      <c r="L219">
        <v>0.27866666666666667</v>
      </c>
      <c r="M219" t="s">
        <v>18</v>
      </c>
    </row>
    <row r="220" spans="1:13" x14ac:dyDescent="0.3">
      <c r="A220" t="s">
        <v>470</v>
      </c>
      <c r="B220" t="s">
        <v>471</v>
      </c>
      <c r="C220" t="s">
        <v>44</v>
      </c>
      <c r="D220" t="s">
        <v>472</v>
      </c>
      <c r="E220">
        <v>600</v>
      </c>
      <c r="F220">
        <v>209</v>
      </c>
      <c r="G220">
        <v>65</v>
      </c>
      <c r="H220">
        <v>391</v>
      </c>
      <c r="I220" t="s">
        <v>17</v>
      </c>
      <c r="J220">
        <v>4.4000000000000004</v>
      </c>
      <c r="K220">
        <v>18872</v>
      </c>
      <c r="L220">
        <v>0.49285714285714283</v>
      </c>
      <c r="M220" t="s">
        <v>18</v>
      </c>
    </row>
    <row r="221" spans="1:13" x14ac:dyDescent="0.3">
      <c r="A221" t="s">
        <v>473</v>
      </c>
      <c r="B221" t="s">
        <v>474</v>
      </c>
      <c r="C221" t="s">
        <v>15</v>
      </c>
      <c r="D221" t="s">
        <v>16</v>
      </c>
      <c r="E221">
        <v>1490</v>
      </c>
      <c r="F221">
        <v>848.99</v>
      </c>
      <c r="G221">
        <v>43</v>
      </c>
      <c r="H221">
        <v>641.01</v>
      </c>
      <c r="I221" t="s">
        <v>64</v>
      </c>
      <c r="J221">
        <v>3.9</v>
      </c>
      <c r="K221">
        <v>356</v>
      </c>
      <c r="L221">
        <v>0.12726495726495729</v>
      </c>
      <c r="M221" t="s">
        <v>18</v>
      </c>
    </row>
    <row r="222" spans="1:13" x14ac:dyDescent="0.3">
      <c r="A222" t="s">
        <v>475</v>
      </c>
      <c r="B222" t="s">
        <v>476</v>
      </c>
      <c r="C222" t="s">
        <v>15</v>
      </c>
      <c r="D222" t="s">
        <v>16</v>
      </c>
      <c r="E222">
        <v>1999</v>
      </c>
      <c r="F222">
        <v>649</v>
      </c>
      <c r="G222">
        <v>68</v>
      </c>
      <c r="H222">
        <v>1350</v>
      </c>
      <c r="I222" t="s">
        <v>64</v>
      </c>
      <c r="J222">
        <v>4.2</v>
      </c>
      <c r="K222">
        <v>24269</v>
      </c>
      <c r="L222">
        <v>0.4819444444444444</v>
      </c>
      <c r="M222" t="s">
        <v>18</v>
      </c>
    </row>
    <row r="223" spans="1:13" x14ac:dyDescent="0.3">
      <c r="A223" t="s">
        <v>477</v>
      </c>
      <c r="B223" t="s">
        <v>478</v>
      </c>
      <c r="C223" t="s">
        <v>44</v>
      </c>
      <c r="D223" t="s">
        <v>124</v>
      </c>
      <c r="E223">
        <v>899</v>
      </c>
      <c r="F223">
        <v>299</v>
      </c>
      <c r="G223">
        <v>67</v>
      </c>
      <c r="H223">
        <v>600</v>
      </c>
      <c r="I223" t="s">
        <v>17</v>
      </c>
      <c r="J223">
        <v>3.8</v>
      </c>
      <c r="K223">
        <v>425</v>
      </c>
      <c r="L223">
        <v>0.14158549783549779</v>
      </c>
      <c r="M223" t="s">
        <v>18</v>
      </c>
    </row>
    <row r="224" spans="1:13" x14ac:dyDescent="0.3">
      <c r="A224" t="s">
        <v>479</v>
      </c>
      <c r="B224" t="s">
        <v>480</v>
      </c>
      <c r="C224" t="s">
        <v>44</v>
      </c>
      <c r="D224" t="s">
        <v>166</v>
      </c>
      <c r="E224">
        <v>799</v>
      </c>
      <c r="F224">
        <v>399</v>
      </c>
      <c r="G224">
        <v>50</v>
      </c>
      <c r="H224">
        <v>400</v>
      </c>
      <c r="I224" t="s">
        <v>17</v>
      </c>
      <c r="J224">
        <v>4.0999999999999996</v>
      </c>
      <c r="K224">
        <v>1161</v>
      </c>
      <c r="L224">
        <v>0.13597222222222219</v>
      </c>
      <c r="M224" t="s">
        <v>18</v>
      </c>
    </row>
    <row r="225" spans="1:13" x14ac:dyDescent="0.3">
      <c r="A225" t="s">
        <v>481</v>
      </c>
      <c r="B225" t="s">
        <v>482</v>
      </c>
      <c r="C225" t="s">
        <v>15</v>
      </c>
      <c r="D225" t="s">
        <v>16</v>
      </c>
      <c r="E225">
        <v>499</v>
      </c>
      <c r="F225">
        <v>249</v>
      </c>
      <c r="G225">
        <v>50</v>
      </c>
      <c r="H225">
        <v>250</v>
      </c>
      <c r="I225" t="s">
        <v>17</v>
      </c>
      <c r="J225">
        <v>4.0999999999999996</v>
      </c>
      <c r="K225">
        <v>1508</v>
      </c>
      <c r="L225">
        <v>0.18825268817204299</v>
      </c>
      <c r="M225" t="s">
        <v>18</v>
      </c>
    </row>
    <row r="226" spans="1:13" x14ac:dyDescent="0.3">
      <c r="A226" t="s">
        <v>483</v>
      </c>
      <c r="B226" t="s">
        <v>484</v>
      </c>
      <c r="C226" t="s">
        <v>44</v>
      </c>
      <c r="D226" t="s">
        <v>485</v>
      </c>
      <c r="E226">
        <v>2299</v>
      </c>
      <c r="F226">
        <v>1249</v>
      </c>
      <c r="G226">
        <v>46</v>
      </c>
      <c r="H226">
        <v>1050</v>
      </c>
      <c r="I226" t="s">
        <v>64</v>
      </c>
      <c r="J226">
        <v>4.3</v>
      </c>
      <c r="K226">
        <v>7636</v>
      </c>
      <c r="L226">
        <v>0.18612179487179489</v>
      </c>
      <c r="M226" t="s">
        <v>18</v>
      </c>
    </row>
    <row r="227" spans="1:13" x14ac:dyDescent="0.3">
      <c r="A227" t="s">
        <v>486</v>
      </c>
      <c r="B227" t="s">
        <v>487</v>
      </c>
      <c r="C227" t="s">
        <v>44</v>
      </c>
      <c r="D227" t="s">
        <v>124</v>
      </c>
      <c r="E227">
        <v>499</v>
      </c>
      <c r="F227">
        <v>213</v>
      </c>
      <c r="G227">
        <v>57</v>
      </c>
      <c r="H227">
        <v>286</v>
      </c>
      <c r="I227" t="s">
        <v>17</v>
      </c>
      <c r="J227">
        <v>3.7</v>
      </c>
      <c r="K227">
        <v>246</v>
      </c>
      <c r="L227">
        <v>0.25747863247863251</v>
      </c>
      <c r="M227" t="s">
        <v>18</v>
      </c>
    </row>
    <row r="228" spans="1:13" x14ac:dyDescent="0.3">
      <c r="A228" t="s">
        <v>488</v>
      </c>
      <c r="B228" t="s">
        <v>489</v>
      </c>
      <c r="C228" t="s">
        <v>44</v>
      </c>
      <c r="D228" t="s">
        <v>124</v>
      </c>
      <c r="E228">
        <v>499</v>
      </c>
      <c r="F228">
        <v>209</v>
      </c>
      <c r="G228">
        <v>58</v>
      </c>
      <c r="H228">
        <v>290</v>
      </c>
      <c r="I228" t="s">
        <v>17</v>
      </c>
      <c r="J228">
        <v>4</v>
      </c>
      <c r="K228">
        <v>479</v>
      </c>
      <c r="L228">
        <v>0.23484848484848481</v>
      </c>
      <c r="M228" t="s">
        <v>18</v>
      </c>
    </row>
    <row r="229" spans="1:13" x14ac:dyDescent="0.3">
      <c r="A229" t="s">
        <v>490</v>
      </c>
      <c r="B229" t="s">
        <v>491</v>
      </c>
      <c r="C229" t="s">
        <v>44</v>
      </c>
      <c r="D229" t="s">
        <v>45</v>
      </c>
      <c r="E229">
        <v>4999</v>
      </c>
      <c r="F229">
        <v>598</v>
      </c>
      <c r="G229">
        <v>88</v>
      </c>
      <c r="H229">
        <v>4401</v>
      </c>
      <c r="I229" t="s">
        <v>64</v>
      </c>
      <c r="J229">
        <v>4.2</v>
      </c>
      <c r="K229">
        <v>910</v>
      </c>
      <c r="L229">
        <v>0.46375</v>
      </c>
      <c r="M229" t="s">
        <v>18</v>
      </c>
    </row>
    <row r="230" spans="1:13" x14ac:dyDescent="0.3">
      <c r="A230" t="s">
        <v>492</v>
      </c>
      <c r="B230" t="s">
        <v>493</v>
      </c>
      <c r="C230" t="s">
        <v>15</v>
      </c>
      <c r="D230" t="s">
        <v>16</v>
      </c>
      <c r="E230">
        <v>1749</v>
      </c>
      <c r="F230">
        <v>799</v>
      </c>
      <c r="G230">
        <v>54</v>
      </c>
      <c r="H230">
        <v>950</v>
      </c>
      <c r="I230" t="s">
        <v>64</v>
      </c>
      <c r="J230">
        <v>4.0999999999999996</v>
      </c>
      <c r="K230">
        <v>5626</v>
      </c>
      <c r="L230">
        <v>0.5</v>
      </c>
      <c r="M230" t="s">
        <v>18</v>
      </c>
    </row>
    <row r="231" spans="1:13" x14ac:dyDescent="0.3">
      <c r="A231" t="s">
        <v>494</v>
      </c>
      <c r="B231" t="s">
        <v>495</v>
      </c>
      <c r="C231" t="s">
        <v>15</v>
      </c>
      <c r="D231" t="s">
        <v>16</v>
      </c>
      <c r="E231">
        <v>595</v>
      </c>
      <c r="F231">
        <v>159</v>
      </c>
      <c r="G231">
        <v>73</v>
      </c>
      <c r="H231">
        <v>436</v>
      </c>
      <c r="I231" t="s">
        <v>17</v>
      </c>
      <c r="J231">
        <v>4.3</v>
      </c>
      <c r="K231">
        <v>14184</v>
      </c>
      <c r="L231">
        <v>0.35083333333333327</v>
      </c>
      <c r="M231" t="s">
        <v>18</v>
      </c>
    </row>
    <row r="232" spans="1:13" x14ac:dyDescent="0.3">
      <c r="A232" t="s">
        <v>496</v>
      </c>
      <c r="B232" t="s">
        <v>497</v>
      </c>
      <c r="C232" t="s">
        <v>15</v>
      </c>
      <c r="D232" t="s">
        <v>498</v>
      </c>
      <c r="E232">
        <v>1100</v>
      </c>
      <c r="F232">
        <v>499</v>
      </c>
      <c r="G232">
        <v>55</v>
      </c>
      <c r="H232">
        <v>601</v>
      </c>
      <c r="I232" t="s">
        <v>17</v>
      </c>
      <c r="J232">
        <v>4.4000000000000004</v>
      </c>
      <c r="K232">
        <v>25177</v>
      </c>
      <c r="L232">
        <v>0.42636904761904759</v>
      </c>
      <c r="M232" t="s">
        <v>18</v>
      </c>
    </row>
    <row r="233" spans="1:13" x14ac:dyDescent="0.3">
      <c r="A233" t="s">
        <v>499</v>
      </c>
      <c r="B233" t="s">
        <v>500</v>
      </c>
      <c r="C233" t="s">
        <v>44</v>
      </c>
      <c r="D233" t="s">
        <v>54</v>
      </c>
      <c r="E233">
        <v>49999</v>
      </c>
      <c r="F233">
        <v>31999</v>
      </c>
      <c r="G233">
        <v>36</v>
      </c>
      <c r="H233">
        <v>18000</v>
      </c>
      <c r="I233" t="s">
        <v>102</v>
      </c>
      <c r="J233">
        <v>4.3</v>
      </c>
      <c r="K233">
        <v>21252</v>
      </c>
      <c r="L233">
        <v>0.2433333333333334</v>
      </c>
      <c r="M233" t="s">
        <v>18</v>
      </c>
    </row>
    <row r="234" spans="1:13" x14ac:dyDescent="0.3">
      <c r="A234" t="s">
        <v>501</v>
      </c>
      <c r="B234" t="s">
        <v>502</v>
      </c>
      <c r="C234" t="s">
        <v>44</v>
      </c>
      <c r="D234" t="s">
        <v>54</v>
      </c>
      <c r="E234">
        <v>56790</v>
      </c>
      <c r="F234">
        <v>32990</v>
      </c>
      <c r="G234">
        <v>42</v>
      </c>
      <c r="H234">
        <v>23800</v>
      </c>
      <c r="I234" t="s">
        <v>102</v>
      </c>
      <c r="J234">
        <v>4.3</v>
      </c>
      <c r="K234">
        <v>567</v>
      </c>
      <c r="L234">
        <v>0.31796875000000002</v>
      </c>
      <c r="M234" t="s">
        <v>18</v>
      </c>
    </row>
    <row r="235" spans="1:13" x14ac:dyDescent="0.3">
      <c r="A235" t="s">
        <v>503</v>
      </c>
      <c r="B235" t="s">
        <v>504</v>
      </c>
      <c r="C235" t="s">
        <v>44</v>
      </c>
      <c r="D235" t="s">
        <v>124</v>
      </c>
      <c r="E235">
        <v>1199</v>
      </c>
      <c r="F235">
        <v>299</v>
      </c>
      <c r="G235">
        <v>75</v>
      </c>
      <c r="H235">
        <v>900</v>
      </c>
      <c r="I235" t="s">
        <v>17</v>
      </c>
      <c r="J235">
        <v>3.5</v>
      </c>
      <c r="K235">
        <v>466</v>
      </c>
      <c r="L235">
        <v>9.5216049382715995E-2</v>
      </c>
      <c r="M235" t="s">
        <v>103</v>
      </c>
    </row>
    <row r="236" spans="1:13" x14ac:dyDescent="0.3">
      <c r="A236" t="s">
        <v>505</v>
      </c>
      <c r="B236" t="s">
        <v>506</v>
      </c>
      <c r="C236" t="s">
        <v>15</v>
      </c>
      <c r="D236" t="s">
        <v>16</v>
      </c>
      <c r="E236">
        <v>549</v>
      </c>
      <c r="F236">
        <v>128.31</v>
      </c>
      <c r="G236">
        <v>77</v>
      </c>
      <c r="H236">
        <v>420.69</v>
      </c>
      <c r="I236" t="s">
        <v>17</v>
      </c>
      <c r="J236">
        <v>3.9</v>
      </c>
      <c r="K236">
        <v>61</v>
      </c>
      <c r="L236">
        <v>-2.70833333333333E-2</v>
      </c>
      <c r="M236" t="s">
        <v>103</v>
      </c>
    </row>
    <row r="237" spans="1:13" x14ac:dyDescent="0.3">
      <c r="A237" t="s">
        <v>507</v>
      </c>
      <c r="B237" t="s">
        <v>508</v>
      </c>
      <c r="C237" t="s">
        <v>15</v>
      </c>
      <c r="D237" t="s">
        <v>16</v>
      </c>
      <c r="E237">
        <v>849</v>
      </c>
      <c r="F237">
        <v>599</v>
      </c>
      <c r="G237">
        <v>29</v>
      </c>
      <c r="H237">
        <v>250</v>
      </c>
      <c r="I237" t="s">
        <v>64</v>
      </c>
      <c r="J237">
        <v>4.5</v>
      </c>
      <c r="K237">
        <v>474</v>
      </c>
      <c r="L237">
        <v>0.32124999999999998</v>
      </c>
      <c r="M237" t="s">
        <v>18</v>
      </c>
    </row>
    <row r="238" spans="1:13" x14ac:dyDescent="0.3">
      <c r="A238" t="s">
        <v>509</v>
      </c>
      <c r="B238" t="s">
        <v>510</v>
      </c>
      <c r="C238" t="s">
        <v>44</v>
      </c>
      <c r="D238" t="s">
        <v>124</v>
      </c>
      <c r="E238">
        <v>899</v>
      </c>
      <c r="F238">
        <v>399</v>
      </c>
      <c r="G238">
        <v>56</v>
      </c>
      <c r="H238">
        <v>500</v>
      </c>
      <c r="I238" t="s">
        <v>17</v>
      </c>
      <c r="J238">
        <v>3.4</v>
      </c>
      <c r="K238">
        <v>431</v>
      </c>
      <c r="L238">
        <v>0.1083333333333333</v>
      </c>
      <c r="M238" t="s">
        <v>18</v>
      </c>
    </row>
    <row r="239" spans="1:13" x14ac:dyDescent="0.3">
      <c r="A239" t="s">
        <v>511</v>
      </c>
      <c r="B239" t="s">
        <v>512</v>
      </c>
      <c r="C239" t="s">
        <v>15</v>
      </c>
      <c r="D239" t="s">
        <v>16</v>
      </c>
      <c r="E239">
        <v>1099</v>
      </c>
      <c r="F239">
        <v>449</v>
      </c>
      <c r="G239">
        <v>59</v>
      </c>
      <c r="H239">
        <v>650</v>
      </c>
      <c r="I239" t="s">
        <v>17</v>
      </c>
      <c r="J239">
        <v>4</v>
      </c>
      <c r="K239">
        <v>242</v>
      </c>
      <c r="L239">
        <v>0.38635225885225888</v>
      </c>
      <c r="M239" t="s">
        <v>18</v>
      </c>
    </row>
    <row r="240" spans="1:13" x14ac:dyDescent="0.3">
      <c r="A240" t="s">
        <v>513</v>
      </c>
      <c r="B240" t="s">
        <v>514</v>
      </c>
      <c r="C240" t="s">
        <v>15</v>
      </c>
      <c r="D240" t="s">
        <v>16</v>
      </c>
      <c r="E240">
        <v>799</v>
      </c>
      <c r="F240">
        <v>254</v>
      </c>
      <c r="G240">
        <v>68</v>
      </c>
      <c r="H240">
        <v>545</v>
      </c>
      <c r="I240" t="s">
        <v>17</v>
      </c>
      <c r="J240">
        <v>4</v>
      </c>
      <c r="K240">
        <v>2905</v>
      </c>
      <c r="L240">
        <v>0.2606944444444444</v>
      </c>
      <c r="M240" t="s">
        <v>18</v>
      </c>
    </row>
    <row r="241" spans="1:13" x14ac:dyDescent="0.3">
      <c r="A241" t="s">
        <v>515</v>
      </c>
      <c r="B241" t="s">
        <v>516</v>
      </c>
      <c r="C241" t="s">
        <v>44</v>
      </c>
      <c r="D241" t="s">
        <v>517</v>
      </c>
      <c r="E241">
        <v>795</v>
      </c>
      <c r="F241">
        <v>399</v>
      </c>
      <c r="G241">
        <v>50</v>
      </c>
      <c r="H241">
        <v>396</v>
      </c>
      <c r="I241" t="s">
        <v>17</v>
      </c>
      <c r="J241">
        <v>4.4000000000000004</v>
      </c>
      <c r="K241">
        <v>12091</v>
      </c>
      <c r="L241">
        <v>0.18483665559246959</v>
      </c>
      <c r="M241" t="s">
        <v>18</v>
      </c>
    </row>
    <row r="242" spans="1:13" x14ac:dyDescent="0.3">
      <c r="A242" t="s">
        <v>518</v>
      </c>
      <c r="B242" t="s">
        <v>519</v>
      </c>
      <c r="C242" t="s">
        <v>15</v>
      </c>
      <c r="D242" t="s">
        <v>16</v>
      </c>
      <c r="E242">
        <v>399</v>
      </c>
      <c r="F242">
        <v>179</v>
      </c>
      <c r="G242">
        <v>55</v>
      </c>
      <c r="H242">
        <v>220</v>
      </c>
      <c r="I242" t="s">
        <v>17</v>
      </c>
      <c r="J242">
        <v>4</v>
      </c>
      <c r="K242">
        <v>1423</v>
      </c>
      <c r="L242">
        <v>0.3668749999999999</v>
      </c>
      <c r="M242" t="s">
        <v>18</v>
      </c>
    </row>
    <row r="243" spans="1:13" x14ac:dyDescent="0.3">
      <c r="A243" t="s">
        <v>520</v>
      </c>
      <c r="B243" t="s">
        <v>521</v>
      </c>
      <c r="C243" t="s">
        <v>15</v>
      </c>
      <c r="D243" t="s">
        <v>16</v>
      </c>
      <c r="E243">
        <v>999</v>
      </c>
      <c r="F243">
        <v>339</v>
      </c>
      <c r="G243">
        <v>66</v>
      </c>
      <c r="H243">
        <v>660</v>
      </c>
      <c r="I243" t="s">
        <v>17</v>
      </c>
      <c r="J243">
        <v>4.3</v>
      </c>
      <c r="K243">
        <v>6255</v>
      </c>
      <c r="L243">
        <v>0.17570105820105819</v>
      </c>
      <c r="M243" t="s">
        <v>18</v>
      </c>
    </row>
    <row r="244" spans="1:13" x14ac:dyDescent="0.3">
      <c r="A244" t="s">
        <v>522</v>
      </c>
      <c r="B244" t="s">
        <v>523</v>
      </c>
      <c r="C244" t="s">
        <v>44</v>
      </c>
      <c r="D244" t="s">
        <v>166</v>
      </c>
      <c r="E244">
        <v>999</v>
      </c>
      <c r="F244">
        <v>399</v>
      </c>
      <c r="G244">
        <v>60</v>
      </c>
      <c r="H244">
        <v>600</v>
      </c>
      <c r="I244" t="s">
        <v>17</v>
      </c>
      <c r="J244">
        <v>4</v>
      </c>
      <c r="K244">
        <v>1236</v>
      </c>
      <c r="L244">
        <v>0.18324404761904761</v>
      </c>
      <c r="M244" t="s">
        <v>18</v>
      </c>
    </row>
    <row r="245" spans="1:13" x14ac:dyDescent="0.3">
      <c r="A245" t="s">
        <v>524</v>
      </c>
      <c r="B245" t="s">
        <v>525</v>
      </c>
      <c r="C245" t="s">
        <v>44</v>
      </c>
      <c r="D245" t="s">
        <v>124</v>
      </c>
      <c r="E245">
        <v>399</v>
      </c>
      <c r="F245">
        <v>199</v>
      </c>
      <c r="G245">
        <v>50</v>
      </c>
      <c r="H245">
        <v>200</v>
      </c>
      <c r="I245" t="s">
        <v>17</v>
      </c>
      <c r="J245">
        <v>4.2</v>
      </c>
      <c r="K245">
        <v>1335</v>
      </c>
      <c r="L245">
        <v>0.2279647435897435</v>
      </c>
      <c r="M245" t="s">
        <v>18</v>
      </c>
    </row>
    <row r="246" spans="1:13" x14ac:dyDescent="0.3">
      <c r="A246" t="s">
        <v>526</v>
      </c>
      <c r="B246" t="s">
        <v>527</v>
      </c>
      <c r="C246" t="s">
        <v>44</v>
      </c>
      <c r="D246" t="s">
        <v>124</v>
      </c>
      <c r="E246">
        <v>1999</v>
      </c>
      <c r="F246">
        <v>349</v>
      </c>
      <c r="G246">
        <v>83</v>
      </c>
      <c r="H246">
        <v>1650</v>
      </c>
      <c r="I246" t="s">
        <v>17</v>
      </c>
      <c r="J246">
        <v>3.8</v>
      </c>
      <c r="K246">
        <v>197</v>
      </c>
      <c r="L246">
        <v>0.1737603305785124</v>
      </c>
      <c r="M246" t="s">
        <v>18</v>
      </c>
    </row>
    <row r="247" spans="1:13" x14ac:dyDescent="0.3">
      <c r="A247" t="s">
        <v>528</v>
      </c>
      <c r="B247" t="s">
        <v>529</v>
      </c>
      <c r="C247" t="s">
        <v>15</v>
      </c>
      <c r="D247" t="s">
        <v>16</v>
      </c>
      <c r="E247">
        <v>798</v>
      </c>
      <c r="F247">
        <v>299</v>
      </c>
      <c r="G247">
        <v>63</v>
      </c>
      <c r="H247">
        <v>499</v>
      </c>
      <c r="I247" t="s">
        <v>17</v>
      </c>
      <c r="J247">
        <v>4.4000000000000004</v>
      </c>
      <c r="K247">
        <v>28791</v>
      </c>
      <c r="L247">
        <v>0.51541666666666675</v>
      </c>
      <c r="M247" t="s">
        <v>18</v>
      </c>
    </row>
    <row r="248" spans="1:13" x14ac:dyDescent="0.3">
      <c r="A248" t="s">
        <v>530</v>
      </c>
      <c r="B248" t="s">
        <v>531</v>
      </c>
      <c r="C248" t="s">
        <v>15</v>
      </c>
      <c r="D248" t="s">
        <v>16</v>
      </c>
      <c r="E248">
        <v>800</v>
      </c>
      <c r="F248">
        <v>89</v>
      </c>
      <c r="G248">
        <v>89</v>
      </c>
      <c r="H248">
        <v>711</v>
      </c>
      <c r="I248" t="s">
        <v>17</v>
      </c>
      <c r="J248">
        <v>3.9</v>
      </c>
      <c r="K248">
        <v>1075</v>
      </c>
      <c r="L248">
        <v>0.17499999999999991</v>
      </c>
      <c r="M248" t="s">
        <v>18</v>
      </c>
    </row>
    <row r="249" spans="1:13" x14ac:dyDescent="0.3">
      <c r="A249" t="s">
        <v>532</v>
      </c>
      <c r="B249" t="s">
        <v>533</v>
      </c>
      <c r="C249" t="s">
        <v>15</v>
      </c>
      <c r="D249" t="s">
        <v>16</v>
      </c>
      <c r="E249">
        <v>995</v>
      </c>
      <c r="F249">
        <v>549</v>
      </c>
      <c r="G249">
        <v>45</v>
      </c>
      <c r="H249">
        <v>446</v>
      </c>
      <c r="I249" t="s">
        <v>64</v>
      </c>
      <c r="J249">
        <v>4.2</v>
      </c>
      <c r="K249">
        <v>29746</v>
      </c>
      <c r="L249">
        <v>0.40330578512396698</v>
      </c>
      <c r="M249" t="s">
        <v>18</v>
      </c>
    </row>
    <row r="250" spans="1:13" x14ac:dyDescent="0.3">
      <c r="A250" t="s">
        <v>534</v>
      </c>
      <c r="B250" t="s">
        <v>535</v>
      </c>
      <c r="C250" t="s">
        <v>15</v>
      </c>
      <c r="D250" t="s">
        <v>16</v>
      </c>
      <c r="E250">
        <v>1000</v>
      </c>
      <c r="F250">
        <v>129</v>
      </c>
      <c r="G250">
        <v>87</v>
      </c>
      <c r="H250">
        <v>871</v>
      </c>
      <c r="I250" t="s">
        <v>17</v>
      </c>
      <c r="J250">
        <v>3.9</v>
      </c>
      <c r="K250">
        <v>295</v>
      </c>
      <c r="L250">
        <v>0.40000000000000008</v>
      </c>
      <c r="M250" t="s">
        <v>18</v>
      </c>
    </row>
    <row r="251" spans="1:13" x14ac:dyDescent="0.3">
      <c r="A251" t="s">
        <v>536</v>
      </c>
      <c r="B251" t="s">
        <v>537</v>
      </c>
      <c r="C251" t="s">
        <v>44</v>
      </c>
      <c r="D251" t="s">
        <v>54</v>
      </c>
      <c r="E251">
        <v>139900</v>
      </c>
      <c r="F251">
        <v>77990</v>
      </c>
      <c r="G251">
        <v>44</v>
      </c>
      <c r="H251">
        <v>61910</v>
      </c>
      <c r="I251" t="s">
        <v>102</v>
      </c>
      <c r="J251">
        <v>4.7</v>
      </c>
      <c r="K251">
        <v>5935</v>
      </c>
      <c r="L251">
        <v>0.2396701388888888</v>
      </c>
      <c r="M251" t="s">
        <v>18</v>
      </c>
    </row>
    <row r="252" spans="1:13" x14ac:dyDescent="0.3">
      <c r="A252" t="s">
        <v>538</v>
      </c>
      <c r="B252" t="s">
        <v>539</v>
      </c>
      <c r="C252" t="s">
        <v>44</v>
      </c>
      <c r="D252" t="s">
        <v>124</v>
      </c>
      <c r="E252">
        <v>799</v>
      </c>
      <c r="F252">
        <v>349</v>
      </c>
      <c r="G252">
        <v>56</v>
      </c>
      <c r="H252">
        <v>450</v>
      </c>
      <c r="I252" t="s">
        <v>17</v>
      </c>
      <c r="J252">
        <v>3.6</v>
      </c>
      <c r="K252">
        <v>323</v>
      </c>
      <c r="L252">
        <v>0.2318545454545454</v>
      </c>
      <c r="M252" t="s">
        <v>18</v>
      </c>
    </row>
    <row r="253" spans="1:13" x14ac:dyDescent="0.3">
      <c r="A253" t="s">
        <v>540</v>
      </c>
      <c r="B253" t="s">
        <v>541</v>
      </c>
      <c r="C253" t="s">
        <v>44</v>
      </c>
      <c r="D253" t="s">
        <v>124</v>
      </c>
      <c r="E253">
        <v>899</v>
      </c>
      <c r="F253">
        <v>499</v>
      </c>
      <c r="G253">
        <v>44</v>
      </c>
      <c r="H253">
        <v>400</v>
      </c>
      <c r="I253" t="s">
        <v>17</v>
      </c>
      <c r="J253">
        <v>3.7</v>
      </c>
      <c r="K253">
        <v>185</v>
      </c>
      <c r="L253">
        <v>0.1280223214285714</v>
      </c>
      <c r="M253" t="s">
        <v>18</v>
      </c>
    </row>
    <row r="254" spans="1:13" x14ac:dyDescent="0.3">
      <c r="A254" t="s">
        <v>542</v>
      </c>
      <c r="B254" t="s">
        <v>543</v>
      </c>
      <c r="C254" t="s">
        <v>15</v>
      </c>
      <c r="D254" t="s">
        <v>16</v>
      </c>
      <c r="E254">
        <v>799</v>
      </c>
      <c r="F254">
        <v>299</v>
      </c>
      <c r="G254">
        <v>63</v>
      </c>
      <c r="H254">
        <v>500</v>
      </c>
      <c r="I254" t="s">
        <v>17</v>
      </c>
      <c r="J254">
        <v>4.2</v>
      </c>
      <c r="K254">
        <v>2117</v>
      </c>
      <c r="L254">
        <v>1.5997023809523E-3</v>
      </c>
      <c r="M254" t="s">
        <v>103</v>
      </c>
    </row>
    <row r="255" spans="1:13" x14ac:dyDescent="0.3">
      <c r="A255" t="s">
        <v>544</v>
      </c>
      <c r="B255" t="s">
        <v>545</v>
      </c>
      <c r="C255" t="s">
        <v>15</v>
      </c>
      <c r="D255" t="s">
        <v>16</v>
      </c>
      <c r="E255">
        <v>599</v>
      </c>
      <c r="F255">
        <v>182</v>
      </c>
      <c r="G255">
        <v>70</v>
      </c>
      <c r="H255">
        <v>417</v>
      </c>
      <c r="I255" t="s">
        <v>17</v>
      </c>
      <c r="J255">
        <v>4</v>
      </c>
      <c r="K255">
        <v>9378</v>
      </c>
      <c r="L255">
        <v>0.47333333333333327</v>
      </c>
      <c r="M255" t="s">
        <v>18</v>
      </c>
    </row>
    <row r="256" spans="1:13" x14ac:dyDescent="0.3">
      <c r="A256" t="s">
        <v>546</v>
      </c>
      <c r="B256" t="s">
        <v>547</v>
      </c>
      <c r="C256" t="s">
        <v>44</v>
      </c>
      <c r="D256" t="s">
        <v>166</v>
      </c>
      <c r="E256">
        <v>399</v>
      </c>
      <c r="F256">
        <v>96</v>
      </c>
      <c r="G256">
        <v>76</v>
      </c>
      <c r="H256">
        <v>303</v>
      </c>
      <c r="I256" t="s">
        <v>17</v>
      </c>
      <c r="J256">
        <v>3.6</v>
      </c>
      <c r="K256">
        <v>1796</v>
      </c>
      <c r="L256">
        <v>5.2749999999999998E-2</v>
      </c>
      <c r="M256" t="s">
        <v>103</v>
      </c>
    </row>
    <row r="257" spans="1:13" x14ac:dyDescent="0.3">
      <c r="A257" t="s">
        <v>548</v>
      </c>
      <c r="B257" t="s">
        <v>549</v>
      </c>
      <c r="C257" t="s">
        <v>44</v>
      </c>
      <c r="D257" t="s">
        <v>54</v>
      </c>
      <c r="E257">
        <v>85000</v>
      </c>
      <c r="F257">
        <v>54990</v>
      </c>
      <c r="G257">
        <v>35</v>
      </c>
      <c r="H257">
        <v>30010</v>
      </c>
      <c r="I257" t="s">
        <v>102</v>
      </c>
      <c r="J257">
        <v>4.3</v>
      </c>
      <c r="K257">
        <v>3587</v>
      </c>
      <c r="L257">
        <v>0.1658483245149911</v>
      </c>
      <c r="M257" t="s">
        <v>18</v>
      </c>
    </row>
    <row r="258" spans="1:13" x14ac:dyDescent="0.3">
      <c r="A258" t="s">
        <v>550</v>
      </c>
      <c r="B258" t="s">
        <v>551</v>
      </c>
      <c r="C258" t="s">
        <v>44</v>
      </c>
      <c r="D258" t="s">
        <v>290</v>
      </c>
      <c r="E258">
        <v>758</v>
      </c>
      <c r="F258">
        <v>439</v>
      </c>
      <c r="G258">
        <v>42</v>
      </c>
      <c r="H258">
        <v>319</v>
      </c>
      <c r="I258" t="s">
        <v>17</v>
      </c>
      <c r="J258">
        <v>4.2</v>
      </c>
      <c r="K258">
        <v>4296</v>
      </c>
      <c r="L258">
        <v>0.36811224489795907</v>
      </c>
      <c r="M258" t="s">
        <v>18</v>
      </c>
    </row>
    <row r="259" spans="1:13" x14ac:dyDescent="0.3">
      <c r="A259" t="s">
        <v>552</v>
      </c>
      <c r="B259" t="s">
        <v>553</v>
      </c>
      <c r="C259" t="s">
        <v>15</v>
      </c>
      <c r="D259" t="s">
        <v>16</v>
      </c>
      <c r="E259">
        <v>999</v>
      </c>
      <c r="F259">
        <v>299</v>
      </c>
      <c r="G259">
        <v>70</v>
      </c>
      <c r="H259">
        <v>700</v>
      </c>
      <c r="I259" t="s">
        <v>17</v>
      </c>
      <c r="J259">
        <v>4.3</v>
      </c>
      <c r="K259">
        <v>2651</v>
      </c>
      <c r="L259">
        <v>0.2377248677248677</v>
      </c>
      <c r="M259" t="s">
        <v>18</v>
      </c>
    </row>
    <row r="260" spans="1:13" x14ac:dyDescent="0.3">
      <c r="A260" t="s">
        <v>554</v>
      </c>
      <c r="B260" t="s">
        <v>555</v>
      </c>
      <c r="C260" t="s">
        <v>15</v>
      </c>
      <c r="D260" t="s">
        <v>16</v>
      </c>
      <c r="E260">
        <v>799</v>
      </c>
      <c r="F260">
        <v>299</v>
      </c>
      <c r="G260">
        <v>63</v>
      </c>
      <c r="H260">
        <v>500</v>
      </c>
      <c r="I260" t="s">
        <v>17</v>
      </c>
      <c r="J260">
        <v>4.2</v>
      </c>
      <c r="K260">
        <v>94363</v>
      </c>
      <c r="L260">
        <v>0.24037037037037029</v>
      </c>
      <c r="M260" t="s">
        <v>18</v>
      </c>
    </row>
    <row r="261" spans="1:13" x14ac:dyDescent="0.3">
      <c r="A261" t="s">
        <v>556</v>
      </c>
      <c r="B261" t="s">
        <v>557</v>
      </c>
      <c r="C261" t="s">
        <v>15</v>
      </c>
      <c r="D261" t="s">
        <v>16</v>
      </c>
      <c r="E261">
        <v>1999</v>
      </c>
      <c r="F261">
        <v>789</v>
      </c>
      <c r="G261">
        <v>61</v>
      </c>
      <c r="H261">
        <v>1210</v>
      </c>
      <c r="I261" t="s">
        <v>64</v>
      </c>
      <c r="J261">
        <v>4.2</v>
      </c>
      <c r="K261">
        <v>34540</v>
      </c>
      <c r="L261">
        <v>0.17916666666666661</v>
      </c>
      <c r="M261" t="s">
        <v>18</v>
      </c>
    </row>
    <row r="262" spans="1:13" x14ac:dyDescent="0.3">
      <c r="A262" t="s">
        <v>558</v>
      </c>
      <c r="B262" t="s">
        <v>559</v>
      </c>
      <c r="C262" t="s">
        <v>44</v>
      </c>
      <c r="D262" t="s">
        <v>45</v>
      </c>
      <c r="E262">
        <v>700</v>
      </c>
      <c r="F262">
        <v>299</v>
      </c>
      <c r="G262">
        <v>57</v>
      </c>
      <c r="H262">
        <v>401</v>
      </c>
      <c r="I262" t="s">
        <v>17</v>
      </c>
      <c r="J262">
        <v>4.4000000000000004</v>
      </c>
      <c r="K262">
        <v>8714</v>
      </c>
      <c r="L262">
        <v>0.27020833333333327</v>
      </c>
      <c r="M262" t="s">
        <v>18</v>
      </c>
    </row>
    <row r="263" spans="1:13" x14ac:dyDescent="0.3">
      <c r="A263" t="s">
        <v>560</v>
      </c>
      <c r="B263" t="s">
        <v>561</v>
      </c>
      <c r="C263" t="s">
        <v>15</v>
      </c>
      <c r="D263" t="s">
        <v>16</v>
      </c>
      <c r="E263">
        <v>1099</v>
      </c>
      <c r="F263">
        <v>325</v>
      </c>
      <c r="G263">
        <v>70</v>
      </c>
      <c r="H263">
        <v>774</v>
      </c>
      <c r="I263" t="s">
        <v>17</v>
      </c>
      <c r="J263">
        <v>4.2</v>
      </c>
      <c r="K263">
        <v>10576</v>
      </c>
      <c r="L263">
        <v>0.1918421052631579</v>
      </c>
      <c r="M263" t="s">
        <v>18</v>
      </c>
    </row>
    <row r="264" spans="1:13" x14ac:dyDescent="0.3">
      <c r="A264" t="s">
        <v>562</v>
      </c>
      <c r="B264" t="s">
        <v>563</v>
      </c>
      <c r="C264" t="s">
        <v>15</v>
      </c>
      <c r="D264" t="s">
        <v>16</v>
      </c>
      <c r="E264">
        <v>1999</v>
      </c>
      <c r="F264">
        <v>1299</v>
      </c>
      <c r="G264">
        <v>35</v>
      </c>
      <c r="H264">
        <v>700</v>
      </c>
      <c r="I264" t="s">
        <v>64</v>
      </c>
      <c r="J264">
        <v>4.4000000000000004</v>
      </c>
      <c r="K264">
        <v>7318</v>
      </c>
      <c r="L264">
        <v>9.2738095238095203E-2</v>
      </c>
      <c r="M264" t="s">
        <v>103</v>
      </c>
    </row>
    <row r="265" spans="1:13" x14ac:dyDescent="0.3">
      <c r="A265" t="s">
        <v>564</v>
      </c>
      <c r="B265" t="s">
        <v>565</v>
      </c>
      <c r="C265" t="s">
        <v>44</v>
      </c>
      <c r="D265" t="s">
        <v>124</v>
      </c>
      <c r="E265">
        <v>1999</v>
      </c>
      <c r="F265">
        <v>790</v>
      </c>
      <c r="G265">
        <v>60</v>
      </c>
      <c r="H265">
        <v>1209</v>
      </c>
      <c r="I265" t="s">
        <v>64</v>
      </c>
      <c r="J265">
        <v>3</v>
      </c>
      <c r="K265">
        <v>103</v>
      </c>
      <c r="L265">
        <v>7.6666666666666605E-2</v>
      </c>
      <c r="M265" t="s">
        <v>103</v>
      </c>
    </row>
    <row r="266" spans="1:13" x14ac:dyDescent="0.3">
      <c r="A266" t="s">
        <v>566</v>
      </c>
      <c r="B266" t="s">
        <v>567</v>
      </c>
      <c r="C266" t="s">
        <v>44</v>
      </c>
      <c r="D266" t="s">
        <v>568</v>
      </c>
      <c r="E266">
        <v>4699</v>
      </c>
      <c r="F266">
        <v>4699</v>
      </c>
      <c r="G266">
        <v>0</v>
      </c>
      <c r="H266">
        <v>0</v>
      </c>
      <c r="I266" t="s">
        <v>167</v>
      </c>
      <c r="J266">
        <v>4.5</v>
      </c>
      <c r="K266">
        <v>224</v>
      </c>
      <c r="L266">
        <v>0.116468253968254</v>
      </c>
      <c r="M266" t="s">
        <v>18</v>
      </c>
    </row>
    <row r="267" spans="1:13" x14ac:dyDescent="0.3">
      <c r="A267" t="s">
        <v>569</v>
      </c>
      <c r="B267" t="s">
        <v>570</v>
      </c>
      <c r="C267" t="s">
        <v>44</v>
      </c>
      <c r="D267" t="s">
        <v>54</v>
      </c>
      <c r="E267">
        <v>24990</v>
      </c>
      <c r="F267">
        <v>18999</v>
      </c>
      <c r="G267">
        <v>24</v>
      </c>
      <c r="H267">
        <v>5991</v>
      </c>
      <c r="I267" t="s">
        <v>55</v>
      </c>
      <c r="J267">
        <v>4.3</v>
      </c>
      <c r="K267">
        <v>4702</v>
      </c>
      <c r="L267">
        <v>0.22760834670947019</v>
      </c>
      <c r="M267" t="s">
        <v>18</v>
      </c>
    </row>
    <row r="268" spans="1:13" x14ac:dyDescent="0.3">
      <c r="A268" t="s">
        <v>571</v>
      </c>
      <c r="B268" t="s">
        <v>572</v>
      </c>
      <c r="C268" t="s">
        <v>15</v>
      </c>
      <c r="D268" t="s">
        <v>16</v>
      </c>
      <c r="E268">
        <v>999</v>
      </c>
      <c r="F268">
        <v>199</v>
      </c>
      <c r="G268">
        <v>80</v>
      </c>
      <c r="H268">
        <v>800</v>
      </c>
      <c r="I268" t="s">
        <v>17</v>
      </c>
      <c r="J268">
        <v>4.2</v>
      </c>
      <c r="K268">
        <v>85</v>
      </c>
      <c r="L268">
        <v>0.3988888888888889</v>
      </c>
      <c r="M268" t="s">
        <v>18</v>
      </c>
    </row>
    <row r="269" spans="1:13" x14ac:dyDescent="0.3">
      <c r="A269" t="s">
        <v>573</v>
      </c>
      <c r="B269" t="s">
        <v>574</v>
      </c>
      <c r="C269" t="s">
        <v>44</v>
      </c>
      <c r="D269" t="s">
        <v>45</v>
      </c>
      <c r="E269">
        <v>650</v>
      </c>
      <c r="F269">
        <v>269</v>
      </c>
      <c r="G269">
        <v>59</v>
      </c>
      <c r="H269">
        <v>381</v>
      </c>
      <c r="I269" t="s">
        <v>17</v>
      </c>
      <c r="J269">
        <v>4.4000000000000004</v>
      </c>
      <c r="K269">
        <v>35877</v>
      </c>
      <c r="L269">
        <v>0.41416666666666663</v>
      </c>
      <c r="M269" t="s">
        <v>18</v>
      </c>
    </row>
    <row r="270" spans="1:13" x14ac:dyDescent="0.3">
      <c r="A270" t="s">
        <v>575</v>
      </c>
      <c r="B270" t="s">
        <v>576</v>
      </c>
      <c r="C270" t="s">
        <v>44</v>
      </c>
      <c r="D270" t="s">
        <v>577</v>
      </c>
      <c r="E270">
        <v>3100</v>
      </c>
      <c r="F270">
        <v>1990</v>
      </c>
      <c r="G270">
        <v>36</v>
      </c>
      <c r="H270">
        <v>1110</v>
      </c>
      <c r="I270" t="s">
        <v>167</v>
      </c>
      <c r="J270">
        <v>4</v>
      </c>
      <c r="K270">
        <v>897</v>
      </c>
      <c r="L270">
        <v>0.1021428571428571</v>
      </c>
      <c r="M270" t="s">
        <v>18</v>
      </c>
    </row>
    <row r="271" spans="1:13" x14ac:dyDescent="0.3">
      <c r="A271" t="s">
        <v>578</v>
      </c>
      <c r="B271" t="s">
        <v>579</v>
      </c>
      <c r="C271" t="s">
        <v>44</v>
      </c>
      <c r="D271" t="s">
        <v>580</v>
      </c>
      <c r="E271">
        <v>3999</v>
      </c>
      <c r="F271">
        <v>2299</v>
      </c>
      <c r="G271">
        <v>43</v>
      </c>
      <c r="H271">
        <v>1700</v>
      </c>
      <c r="I271" t="s">
        <v>167</v>
      </c>
      <c r="J271">
        <v>3.8</v>
      </c>
      <c r="K271">
        <v>282</v>
      </c>
      <c r="L271">
        <v>0.20360863095238091</v>
      </c>
      <c r="M271" t="s">
        <v>18</v>
      </c>
    </row>
    <row r="272" spans="1:13" x14ac:dyDescent="0.3">
      <c r="A272" t="s">
        <v>581</v>
      </c>
      <c r="B272" t="s">
        <v>582</v>
      </c>
      <c r="C272" t="s">
        <v>44</v>
      </c>
      <c r="D272" t="s">
        <v>54</v>
      </c>
      <c r="E272">
        <v>49990</v>
      </c>
      <c r="F272">
        <v>35999</v>
      </c>
      <c r="G272">
        <v>28</v>
      </c>
      <c r="H272">
        <v>13991</v>
      </c>
      <c r="I272" t="s">
        <v>102</v>
      </c>
      <c r="J272">
        <v>4.3</v>
      </c>
      <c r="K272">
        <v>1611</v>
      </c>
      <c r="L272">
        <v>0.32413886400955361</v>
      </c>
      <c r="M272" t="s">
        <v>18</v>
      </c>
    </row>
    <row r="273" spans="1:13" x14ac:dyDescent="0.3">
      <c r="A273" t="s">
        <v>583</v>
      </c>
      <c r="B273" t="s">
        <v>584</v>
      </c>
      <c r="C273" t="s">
        <v>44</v>
      </c>
      <c r="D273" t="s">
        <v>124</v>
      </c>
      <c r="E273">
        <v>999</v>
      </c>
      <c r="F273">
        <v>349</v>
      </c>
      <c r="G273">
        <v>65</v>
      </c>
      <c r="H273">
        <v>650</v>
      </c>
      <c r="I273" t="s">
        <v>17</v>
      </c>
      <c r="J273">
        <v>4.2</v>
      </c>
      <c r="K273">
        <v>513</v>
      </c>
      <c r="L273">
        <v>0.10922619047619039</v>
      </c>
      <c r="M273" t="s">
        <v>18</v>
      </c>
    </row>
    <row r="274" spans="1:13" x14ac:dyDescent="0.3">
      <c r="A274" t="s">
        <v>585</v>
      </c>
      <c r="B274" t="s">
        <v>586</v>
      </c>
      <c r="C274" t="s">
        <v>15</v>
      </c>
      <c r="D274" t="s">
        <v>16</v>
      </c>
      <c r="E274">
        <v>1499</v>
      </c>
      <c r="F274">
        <v>719</v>
      </c>
      <c r="G274">
        <v>52</v>
      </c>
      <c r="H274">
        <v>780</v>
      </c>
      <c r="I274" t="s">
        <v>64</v>
      </c>
      <c r="J274">
        <v>4.0999999999999996</v>
      </c>
      <c r="K274">
        <v>1045</v>
      </c>
      <c r="L274">
        <v>0.31164529914529909</v>
      </c>
      <c r="M274" t="s">
        <v>18</v>
      </c>
    </row>
    <row r="275" spans="1:13" x14ac:dyDescent="0.3">
      <c r="A275" t="s">
        <v>587</v>
      </c>
      <c r="B275" t="s">
        <v>588</v>
      </c>
      <c r="C275" t="s">
        <v>44</v>
      </c>
      <c r="D275" t="s">
        <v>54</v>
      </c>
      <c r="E275">
        <v>18999</v>
      </c>
      <c r="F275">
        <v>8999</v>
      </c>
      <c r="G275">
        <v>53</v>
      </c>
      <c r="H275">
        <v>10000</v>
      </c>
      <c r="I275" t="s">
        <v>55</v>
      </c>
      <c r="J275">
        <v>4</v>
      </c>
      <c r="K275">
        <v>6347</v>
      </c>
      <c r="L275">
        <v>0.33273809523809522</v>
      </c>
      <c r="M275" t="s">
        <v>18</v>
      </c>
    </row>
    <row r="276" spans="1:13" x14ac:dyDescent="0.3">
      <c r="A276" t="s">
        <v>589</v>
      </c>
      <c r="B276" t="s">
        <v>590</v>
      </c>
      <c r="C276" t="s">
        <v>44</v>
      </c>
      <c r="D276" t="s">
        <v>485</v>
      </c>
      <c r="E276">
        <v>2299</v>
      </c>
      <c r="F276">
        <v>917</v>
      </c>
      <c r="G276">
        <v>60</v>
      </c>
      <c r="H276">
        <v>1382</v>
      </c>
      <c r="I276" t="s">
        <v>64</v>
      </c>
      <c r="J276">
        <v>4.2</v>
      </c>
      <c r="K276">
        <v>3300</v>
      </c>
      <c r="L276">
        <v>0.28166666666666668</v>
      </c>
      <c r="M276" t="s">
        <v>18</v>
      </c>
    </row>
    <row r="277" spans="1:13" x14ac:dyDescent="0.3">
      <c r="A277" t="s">
        <v>591</v>
      </c>
      <c r="B277" t="s">
        <v>592</v>
      </c>
      <c r="C277" t="s">
        <v>44</v>
      </c>
      <c r="D277" t="s">
        <v>124</v>
      </c>
      <c r="E277">
        <v>999</v>
      </c>
      <c r="F277">
        <v>399</v>
      </c>
      <c r="G277">
        <v>60</v>
      </c>
      <c r="H277">
        <v>600</v>
      </c>
      <c r="I277" t="s">
        <v>17</v>
      </c>
      <c r="J277">
        <v>3.3</v>
      </c>
      <c r="K277">
        <v>23</v>
      </c>
      <c r="L277">
        <v>-0.1062499999999999</v>
      </c>
      <c r="M277" t="s">
        <v>69</v>
      </c>
    </row>
    <row r="278" spans="1:13" x14ac:dyDescent="0.3">
      <c r="A278" t="s">
        <v>593</v>
      </c>
      <c r="B278" t="s">
        <v>594</v>
      </c>
      <c r="C278" t="s">
        <v>44</v>
      </c>
      <c r="D278" t="s">
        <v>54</v>
      </c>
      <c r="E278">
        <v>69900</v>
      </c>
      <c r="F278">
        <v>45999</v>
      </c>
      <c r="G278">
        <v>34</v>
      </c>
      <c r="H278">
        <v>23901</v>
      </c>
      <c r="I278" t="s">
        <v>102</v>
      </c>
      <c r="J278">
        <v>4.3</v>
      </c>
      <c r="K278">
        <v>7109</v>
      </c>
      <c r="L278">
        <v>0.1728298861632194</v>
      </c>
      <c r="M278" t="s">
        <v>18</v>
      </c>
    </row>
    <row r="279" spans="1:13" x14ac:dyDescent="0.3">
      <c r="A279" t="s">
        <v>595</v>
      </c>
      <c r="B279" t="s">
        <v>596</v>
      </c>
      <c r="C279" t="s">
        <v>15</v>
      </c>
      <c r="D279" t="s">
        <v>16</v>
      </c>
      <c r="E279">
        <v>299</v>
      </c>
      <c r="F279">
        <v>119</v>
      </c>
      <c r="G279">
        <v>60</v>
      </c>
      <c r="H279">
        <v>180</v>
      </c>
      <c r="I279" t="s">
        <v>17</v>
      </c>
      <c r="J279">
        <v>3.8</v>
      </c>
      <c r="K279">
        <v>51</v>
      </c>
      <c r="L279">
        <v>0.5</v>
      </c>
      <c r="M279" t="s">
        <v>18</v>
      </c>
    </row>
    <row r="280" spans="1:13" x14ac:dyDescent="0.3">
      <c r="A280" t="s">
        <v>597</v>
      </c>
      <c r="B280" t="s">
        <v>598</v>
      </c>
      <c r="C280" t="s">
        <v>44</v>
      </c>
      <c r="D280" t="s">
        <v>54</v>
      </c>
      <c r="E280">
        <v>29999</v>
      </c>
      <c r="F280">
        <v>21999</v>
      </c>
      <c r="G280">
        <v>27</v>
      </c>
      <c r="H280">
        <v>8000</v>
      </c>
      <c r="I280" t="s">
        <v>102</v>
      </c>
      <c r="J280">
        <v>4.2</v>
      </c>
      <c r="K280">
        <v>32840</v>
      </c>
      <c r="L280">
        <v>0.4046153846153846</v>
      </c>
      <c r="M280" t="s">
        <v>18</v>
      </c>
    </row>
    <row r="281" spans="1:13" x14ac:dyDescent="0.3">
      <c r="A281" t="s">
        <v>599</v>
      </c>
      <c r="B281" t="s">
        <v>600</v>
      </c>
      <c r="C281" t="s">
        <v>44</v>
      </c>
      <c r="D281" t="s">
        <v>124</v>
      </c>
      <c r="E281">
        <v>599</v>
      </c>
      <c r="F281">
        <v>299</v>
      </c>
      <c r="G281">
        <v>50</v>
      </c>
      <c r="H281">
        <v>300</v>
      </c>
      <c r="I281" t="s">
        <v>17</v>
      </c>
      <c r="J281">
        <v>3.7</v>
      </c>
      <c r="K281">
        <v>708</v>
      </c>
      <c r="L281">
        <v>0.28865568954854659</v>
      </c>
      <c r="M281" t="s">
        <v>18</v>
      </c>
    </row>
    <row r="282" spans="1:13" x14ac:dyDescent="0.3">
      <c r="A282" t="s">
        <v>601</v>
      </c>
      <c r="B282" t="s">
        <v>602</v>
      </c>
      <c r="C282" t="s">
        <v>44</v>
      </c>
      <c r="D282" t="s">
        <v>54</v>
      </c>
      <c r="E282">
        <v>34990</v>
      </c>
      <c r="F282">
        <v>21990</v>
      </c>
      <c r="G282">
        <v>37</v>
      </c>
      <c r="H282">
        <v>13000</v>
      </c>
      <c r="I282" t="s">
        <v>102</v>
      </c>
      <c r="J282">
        <v>4.3</v>
      </c>
      <c r="K282">
        <v>1657</v>
      </c>
      <c r="L282">
        <v>0.22312925170068029</v>
      </c>
      <c r="M282" t="s">
        <v>18</v>
      </c>
    </row>
    <row r="283" spans="1:13" x14ac:dyDescent="0.3">
      <c r="A283" t="s">
        <v>603</v>
      </c>
      <c r="B283" t="s">
        <v>604</v>
      </c>
      <c r="C283" t="s">
        <v>15</v>
      </c>
      <c r="D283" t="s">
        <v>16</v>
      </c>
      <c r="E283">
        <v>670</v>
      </c>
      <c r="F283">
        <v>417.44</v>
      </c>
      <c r="G283">
        <v>38</v>
      </c>
      <c r="H283">
        <v>252.56</v>
      </c>
      <c r="I283" t="s">
        <v>17</v>
      </c>
      <c r="J283">
        <v>3.9</v>
      </c>
      <c r="K283">
        <v>523</v>
      </c>
      <c r="L283">
        <v>0.18333333333333329</v>
      </c>
      <c r="M283" t="s">
        <v>18</v>
      </c>
    </row>
    <row r="284" spans="1:13" x14ac:dyDescent="0.3">
      <c r="A284" t="s">
        <v>605</v>
      </c>
      <c r="B284" t="s">
        <v>606</v>
      </c>
      <c r="C284" t="s">
        <v>44</v>
      </c>
      <c r="D284" t="s">
        <v>54</v>
      </c>
      <c r="E284">
        <v>79990</v>
      </c>
      <c r="F284">
        <v>47990</v>
      </c>
      <c r="G284">
        <v>40</v>
      </c>
      <c r="H284">
        <v>32000</v>
      </c>
      <c r="I284" t="s">
        <v>102</v>
      </c>
      <c r="J284">
        <v>4.3</v>
      </c>
      <c r="K284">
        <v>1376</v>
      </c>
      <c r="L284">
        <v>0.15673333333333331</v>
      </c>
      <c r="M284" t="s">
        <v>18</v>
      </c>
    </row>
    <row r="285" spans="1:13" x14ac:dyDescent="0.3">
      <c r="A285" t="s">
        <v>607</v>
      </c>
      <c r="B285" t="s">
        <v>608</v>
      </c>
      <c r="C285" t="s">
        <v>44</v>
      </c>
      <c r="D285" t="s">
        <v>124</v>
      </c>
      <c r="E285">
        <v>499</v>
      </c>
      <c r="F285">
        <v>215</v>
      </c>
      <c r="G285">
        <v>57</v>
      </c>
      <c r="H285">
        <v>284</v>
      </c>
      <c r="I285" t="s">
        <v>17</v>
      </c>
      <c r="J285">
        <v>3.5</v>
      </c>
      <c r="K285">
        <v>121</v>
      </c>
      <c r="L285">
        <v>0.13708333333333331</v>
      </c>
      <c r="M285" t="s">
        <v>18</v>
      </c>
    </row>
    <row r="286" spans="1:13" x14ac:dyDescent="0.3">
      <c r="A286" t="s">
        <v>609</v>
      </c>
      <c r="B286" t="s">
        <v>610</v>
      </c>
      <c r="C286" t="s">
        <v>15</v>
      </c>
      <c r="D286" t="s">
        <v>16</v>
      </c>
      <c r="E286">
        <v>800</v>
      </c>
      <c r="F286">
        <v>99</v>
      </c>
      <c r="G286">
        <v>88</v>
      </c>
      <c r="H286">
        <v>701</v>
      </c>
      <c r="I286" t="s">
        <v>17</v>
      </c>
      <c r="J286">
        <v>3.9</v>
      </c>
      <c r="K286">
        <v>1075</v>
      </c>
      <c r="L286">
        <v>0.17499999999999991</v>
      </c>
      <c r="M286" t="s">
        <v>18</v>
      </c>
    </row>
    <row r="287" spans="1:13" x14ac:dyDescent="0.3">
      <c r="A287" t="s">
        <v>611</v>
      </c>
      <c r="B287" t="s">
        <v>612</v>
      </c>
      <c r="C287" t="s">
        <v>44</v>
      </c>
      <c r="D287" t="s">
        <v>54</v>
      </c>
      <c r="E287">
        <v>35000</v>
      </c>
      <c r="F287">
        <v>18999</v>
      </c>
      <c r="G287">
        <v>46</v>
      </c>
      <c r="H287">
        <v>16001</v>
      </c>
      <c r="I287" t="s">
        <v>55</v>
      </c>
      <c r="J287">
        <v>4</v>
      </c>
      <c r="K287">
        <v>1001</v>
      </c>
      <c r="L287">
        <v>0.28387445887445878</v>
      </c>
      <c r="M287" t="s">
        <v>18</v>
      </c>
    </row>
    <row r="288" spans="1:13" x14ac:dyDescent="0.3">
      <c r="A288" t="s">
        <v>613</v>
      </c>
      <c r="B288" t="s">
        <v>614</v>
      </c>
      <c r="C288" t="s">
        <v>15</v>
      </c>
      <c r="D288" t="s">
        <v>16</v>
      </c>
      <c r="E288">
        <v>999</v>
      </c>
      <c r="F288">
        <v>249</v>
      </c>
      <c r="G288">
        <v>75</v>
      </c>
      <c r="H288">
        <v>750</v>
      </c>
      <c r="I288" t="s">
        <v>17</v>
      </c>
      <c r="J288">
        <v>4.3</v>
      </c>
      <c r="K288">
        <v>112</v>
      </c>
      <c r="L288">
        <v>0.1354166666666666</v>
      </c>
      <c r="M288" t="s">
        <v>18</v>
      </c>
    </row>
    <row r="289" spans="1:13" x14ac:dyDescent="0.3">
      <c r="A289" t="s">
        <v>615</v>
      </c>
      <c r="B289" t="s">
        <v>616</v>
      </c>
      <c r="C289" t="s">
        <v>44</v>
      </c>
      <c r="D289" t="s">
        <v>135</v>
      </c>
      <c r="E289">
        <v>15999</v>
      </c>
      <c r="F289">
        <v>7999</v>
      </c>
      <c r="G289">
        <v>50</v>
      </c>
      <c r="H289">
        <v>8000</v>
      </c>
      <c r="I289" t="s">
        <v>55</v>
      </c>
      <c r="J289">
        <v>3.8</v>
      </c>
      <c r="K289">
        <v>3022</v>
      </c>
      <c r="L289">
        <v>0.1517573051948051</v>
      </c>
      <c r="M289" t="s">
        <v>18</v>
      </c>
    </row>
    <row r="290" spans="1:13" x14ac:dyDescent="0.3">
      <c r="A290" t="s">
        <v>617</v>
      </c>
      <c r="B290" t="s">
        <v>618</v>
      </c>
      <c r="C290" t="s">
        <v>15</v>
      </c>
      <c r="D290" t="s">
        <v>16</v>
      </c>
      <c r="E290">
        <v>1600</v>
      </c>
      <c r="F290">
        <v>649</v>
      </c>
      <c r="G290">
        <v>59</v>
      </c>
      <c r="H290">
        <v>951</v>
      </c>
      <c r="I290" t="s">
        <v>64</v>
      </c>
      <c r="J290">
        <v>4.3</v>
      </c>
      <c r="K290">
        <v>5451</v>
      </c>
      <c r="L290">
        <v>0.28763888888888889</v>
      </c>
      <c r="M290" t="s">
        <v>18</v>
      </c>
    </row>
    <row r="291" spans="1:13" x14ac:dyDescent="0.3">
      <c r="A291" t="s">
        <v>619</v>
      </c>
      <c r="B291" t="s">
        <v>189</v>
      </c>
      <c r="C291" t="s">
        <v>44</v>
      </c>
      <c r="D291" t="s">
        <v>124</v>
      </c>
      <c r="E291">
        <v>2499</v>
      </c>
      <c r="F291">
        <v>1289</v>
      </c>
      <c r="G291">
        <v>48</v>
      </c>
      <c r="H291">
        <v>1210</v>
      </c>
      <c r="I291" t="s">
        <v>64</v>
      </c>
      <c r="J291">
        <v>3.3</v>
      </c>
      <c r="K291">
        <v>73</v>
      </c>
      <c r="L291">
        <v>0.22247023809523811</v>
      </c>
      <c r="M291" t="s">
        <v>18</v>
      </c>
    </row>
    <row r="292" spans="1:13" x14ac:dyDescent="0.3">
      <c r="A292" t="s">
        <v>620</v>
      </c>
      <c r="B292" t="s">
        <v>621</v>
      </c>
      <c r="C292" t="s">
        <v>44</v>
      </c>
      <c r="D292" t="s">
        <v>45</v>
      </c>
      <c r="E292">
        <v>1500</v>
      </c>
      <c r="F292">
        <v>609</v>
      </c>
      <c r="G292">
        <v>59</v>
      </c>
      <c r="H292">
        <v>891</v>
      </c>
      <c r="I292" t="s">
        <v>64</v>
      </c>
      <c r="J292">
        <v>4.5</v>
      </c>
      <c r="K292">
        <v>1029</v>
      </c>
      <c r="L292">
        <v>0.55100000000000005</v>
      </c>
      <c r="M292" t="s">
        <v>18</v>
      </c>
    </row>
    <row r="293" spans="1:13" x14ac:dyDescent="0.3">
      <c r="A293" t="s">
        <v>622</v>
      </c>
      <c r="B293" t="s">
        <v>623</v>
      </c>
      <c r="C293" t="s">
        <v>44</v>
      </c>
      <c r="D293" t="s">
        <v>54</v>
      </c>
      <c r="E293">
        <v>54990</v>
      </c>
      <c r="F293">
        <v>32990</v>
      </c>
      <c r="G293">
        <v>40</v>
      </c>
      <c r="H293">
        <v>22000</v>
      </c>
      <c r="I293" t="s">
        <v>102</v>
      </c>
      <c r="J293">
        <v>4.0999999999999996</v>
      </c>
      <c r="K293">
        <v>1555</v>
      </c>
      <c r="L293">
        <v>0.3307692307692307</v>
      </c>
      <c r="M293" t="s">
        <v>18</v>
      </c>
    </row>
    <row r="294" spans="1:13" x14ac:dyDescent="0.3">
      <c r="A294" t="s">
        <v>624</v>
      </c>
      <c r="B294" t="s">
        <v>625</v>
      </c>
      <c r="C294" t="s">
        <v>44</v>
      </c>
      <c r="D294" t="s">
        <v>45</v>
      </c>
      <c r="E294">
        <v>1999</v>
      </c>
      <c r="F294">
        <v>599</v>
      </c>
      <c r="G294">
        <v>70</v>
      </c>
      <c r="H294">
        <v>1400</v>
      </c>
      <c r="I294" t="s">
        <v>64</v>
      </c>
      <c r="J294">
        <v>4.2</v>
      </c>
      <c r="K294">
        <v>47</v>
      </c>
      <c r="L294">
        <v>0.62222222222222223</v>
      </c>
      <c r="M294" t="s">
        <v>18</v>
      </c>
    </row>
    <row r="295" spans="1:13" x14ac:dyDescent="0.3">
      <c r="A295" t="s">
        <v>626</v>
      </c>
      <c r="B295" t="s">
        <v>627</v>
      </c>
      <c r="C295" t="s">
        <v>15</v>
      </c>
      <c r="D295" t="s">
        <v>16</v>
      </c>
      <c r="E295">
        <v>899</v>
      </c>
      <c r="F295">
        <v>349</v>
      </c>
      <c r="G295">
        <v>61</v>
      </c>
      <c r="H295">
        <v>550</v>
      </c>
      <c r="I295" t="s">
        <v>17</v>
      </c>
      <c r="J295">
        <v>4.0999999999999996</v>
      </c>
      <c r="K295">
        <v>14896</v>
      </c>
      <c r="L295">
        <v>0.19369191919191919</v>
      </c>
      <c r="M295" t="s">
        <v>18</v>
      </c>
    </row>
    <row r="296" spans="1:13" x14ac:dyDescent="0.3">
      <c r="A296" t="s">
        <v>628</v>
      </c>
      <c r="B296" t="s">
        <v>629</v>
      </c>
      <c r="C296" t="s">
        <v>44</v>
      </c>
      <c r="D296" t="s">
        <v>54</v>
      </c>
      <c r="E296">
        <v>50999</v>
      </c>
      <c r="F296">
        <v>29999</v>
      </c>
      <c r="G296">
        <v>41</v>
      </c>
      <c r="H296">
        <v>21000</v>
      </c>
      <c r="I296" t="s">
        <v>102</v>
      </c>
      <c r="J296">
        <v>4.4000000000000004</v>
      </c>
      <c r="K296">
        <v>1712</v>
      </c>
      <c r="L296">
        <v>0.38181818181818189</v>
      </c>
      <c r="M296" t="s">
        <v>18</v>
      </c>
    </row>
    <row r="297" spans="1:13" x14ac:dyDescent="0.3">
      <c r="A297" t="s">
        <v>630</v>
      </c>
      <c r="B297" t="s">
        <v>525</v>
      </c>
      <c r="C297" t="s">
        <v>44</v>
      </c>
      <c r="D297" t="s">
        <v>124</v>
      </c>
      <c r="E297">
        <v>399</v>
      </c>
      <c r="F297">
        <v>199</v>
      </c>
      <c r="G297">
        <v>50</v>
      </c>
      <c r="H297">
        <v>200</v>
      </c>
      <c r="I297" t="s">
        <v>17</v>
      </c>
      <c r="J297">
        <v>4.2</v>
      </c>
      <c r="K297">
        <v>1335</v>
      </c>
      <c r="L297">
        <v>0.2279647435897435</v>
      </c>
      <c r="M297" t="s">
        <v>18</v>
      </c>
    </row>
    <row r="298" spans="1:13" x14ac:dyDescent="0.3">
      <c r="A298" t="s">
        <v>631</v>
      </c>
      <c r="B298" t="s">
        <v>632</v>
      </c>
      <c r="C298" t="s">
        <v>44</v>
      </c>
      <c r="D298" t="s">
        <v>124</v>
      </c>
      <c r="E298">
        <v>699</v>
      </c>
      <c r="F298">
        <v>349</v>
      </c>
      <c r="G298">
        <v>50</v>
      </c>
      <c r="H298">
        <v>350</v>
      </c>
      <c r="I298" t="s">
        <v>17</v>
      </c>
      <c r="J298">
        <v>3.9</v>
      </c>
      <c r="K298">
        <v>214</v>
      </c>
      <c r="L298">
        <v>0.2309259259259259</v>
      </c>
      <c r="M298" t="s">
        <v>18</v>
      </c>
    </row>
    <row r="299" spans="1:13" x14ac:dyDescent="0.3">
      <c r="A299" t="s">
        <v>633</v>
      </c>
      <c r="B299" t="s">
        <v>634</v>
      </c>
      <c r="C299" t="s">
        <v>44</v>
      </c>
      <c r="D299" t="s">
        <v>166</v>
      </c>
      <c r="E299">
        <v>4500</v>
      </c>
      <c r="F299">
        <v>1850</v>
      </c>
      <c r="G299">
        <v>59</v>
      </c>
      <c r="H299">
        <v>2650</v>
      </c>
      <c r="I299" t="s">
        <v>167</v>
      </c>
      <c r="J299">
        <v>4</v>
      </c>
      <c r="K299">
        <v>184</v>
      </c>
      <c r="L299">
        <v>5.9944444444444397E-2</v>
      </c>
      <c r="M299" t="s">
        <v>103</v>
      </c>
    </row>
    <row r="300" spans="1:13" x14ac:dyDescent="0.3">
      <c r="A300" t="s">
        <v>635</v>
      </c>
      <c r="B300" t="s">
        <v>636</v>
      </c>
      <c r="C300" t="s">
        <v>44</v>
      </c>
      <c r="D300" t="s">
        <v>349</v>
      </c>
      <c r="E300">
        <v>28900</v>
      </c>
      <c r="F300">
        <v>13990</v>
      </c>
      <c r="G300">
        <v>52</v>
      </c>
      <c r="H300">
        <v>14910</v>
      </c>
      <c r="I300" t="s">
        <v>55</v>
      </c>
      <c r="J300">
        <v>4.5</v>
      </c>
      <c r="K300">
        <v>7</v>
      </c>
      <c r="L300">
        <v>0.21564814814814809</v>
      </c>
      <c r="M300" t="s">
        <v>18</v>
      </c>
    </row>
    <row r="301" spans="1:13" x14ac:dyDescent="0.3">
      <c r="A301" t="s">
        <v>637</v>
      </c>
      <c r="B301" t="s">
        <v>638</v>
      </c>
      <c r="C301" t="s">
        <v>15</v>
      </c>
      <c r="D301" t="s">
        <v>16</v>
      </c>
      <c r="E301">
        <v>449</v>
      </c>
      <c r="F301">
        <v>129</v>
      </c>
      <c r="G301">
        <v>71</v>
      </c>
      <c r="H301">
        <v>320</v>
      </c>
      <c r="I301" t="s">
        <v>17</v>
      </c>
      <c r="J301">
        <v>3.7</v>
      </c>
      <c r="K301">
        <v>41</v>
      </c>
      <c r="L301">
        <v>0.28333333333333333</v>
      </c>
      <c r="M301" t="s">
        <v>18</v>
      </c>
    </row>
    <row r="302" spans="1:13" x14ac:dyDescent="0.3">
      <c r="A302" t="s">
        <v>639</v>
      </c>
      <c r="B302" t="s">
        <v>640</v>
      </c>
      <c r="C302" t="s">
        <v>44</v>
      </c>
      <c r="D302" t="s">
        <v>45</v>
      </c>
      <c r="E302">
        <v>999</v>
      </c>
      <c r="F302">
        <v>379</v>
      </c>
      <c r="G302">
        <v>62</v>
      </c>
      <c r="H302">
        <v>620</v>
      </c>
      <c r="I302" t="s">
        <v>17</v>
      </c>
      <c r="J302">
        <v>4.2</v>
      </c>
      <c r="K302">
        <v>12153</v>
      </c>
      <c r="L302">
        <v>0.20642230576441101</v>
      </c>
      <c r="M302" t="s">
        <v>18</v>
      </c>
    </row>
    <row r="303" spans="1:13" x14ac:dyDescent="0.3">
      <c r="A303" t="s">
        <v>641</v>
      </c>
      <c r="B303" t="s">
        <v>642</v>
      </c>
      <c r="C303" t="s">
        <v>44</v>
      </c>
      <c r="D303" t="s">
        <v>45</v>
      </c>
      <c r="E303">
        <v>499</v>
      </c>
      <c r="F303">
        <v>185</v>
      </c>
      <c r="G303">
        <v>63</v>
      </c>
      <c r="H303">
        <v>314</v>
      </c>
      <c r="I303" t="s">
        <v>17</v>
      </c>
      <c r="J303">
        <v>4.2</v>
      </c>
      <c r="K303">
        <v>25</v>
      </c>
      <c r="L303">
        <v>1</v>
      </c>
      <c r="M303" t="s">
        <v>18</v>
      </c>
    </row>
    <row r="304" spans="1:13" x14ac:dyDescent="0.3">
      <c r="A304" t="s">
        <v>643</v>
      </c>
      <c r="B304" t="s">
        <v>644</v>
      </c>
      <c r="C304" t="s">
        <v>15</v>
      </c>
      <c r="D304" t="s">
        <v>35</v>
      </c>
      <c r="E304">
        <v>999</v>
      </c>
      <c r="F304">
        <v>218</v>
      </c>
      <c r="G304">
        <v>78</v>
      </c>
      <c r="H304">
        <v>781</v>
      </c>
      <c r="I304" t="s">
        <v>17</v>
      </c>
      <c r="J304">
        <v>4.2</v>
      </c>
      <c r="K304">
        <v>163</v>
      </c>
      <c r="L304">
        <v>0.37666666666666671</v>
      </c>
      <c r="M304" t="s">
        <v>18</v>
      </c>
    </row>
    <row r="305" spans="1:13" x14ac:dyDescent="0.3">
      <c r="A305" t="s">
        <v>645</v>
      </c>
      <c r="B305" t="s">
        <v>646</v>
      </c>
      <c r="C305" t="s">
        <v>15</v>
      </c>
      <c r="D305" t="s">
        <v>16</v>
      </c>
      <c r="E305">
        <v>999</v>
      </c>
      <c r="F305">
        <v>199</v>
      </c>
      <c r="G305">
        <v>80</v>
      </c>
      <c r="H305">
        <v>800</v>
      </c>
      <c r="I305" t="s">
        <v>17</v>
      </c>
      <c r="J305">
        <v>4.3</v>
      </c>
      <c r="K305">
        <v>87</v>
      </c>
      <c r="L305">
        <v>0.33243055555555551</v>
      </c>
      <c r="M305" t="s">
        <v>18</v>
      </c>
    </row>
    <row r="306" spans="1:13" x14ac:dyDescent="0.3">
      <c r="A306" t="s">
        <v>647</v>
      </c>
      <c r="B306" t="s">
        <v>648</v>
      </c>
      <c r="C306" t="s">
        <v>44</v>
      </c>
      <c r="D306" t="s">
        <v>45</v>
      </c>
      <c r="E306">
        <v>900</v>
      </c>
      <c r="F306">
        <v>499</v>
      </c>
      <c r="G306">
        <v>45</v>
      </c>
      <c r="H306">
        <v>401</v>
      </c>
      <c r="I306" t="s">
        <v>17</v>
      </c>
      <c r="J306">
        <v>4.4000000000000004</v>
      </c>
      <c r="K306">
        <v>2165</v>
      </c>
      <c r="L306">
        <v>0.12527472527472519</v>
      </c>
      <c r="M306" t="s">
        <v>18</v>
      </c>
    </row>
    <row r="307" spans="1:13" x14ac:dyDescent="0.3">
      <c r="A307" t="s">
        <v>649</v>
      </c>
      <c r="B307" t="s">
        <v>650</v>
      </c>
      <c r="C307" t="s">
        <v>44</v>
      </c>
      <c r="D307" t="s">
        <v>54</v>
      </c>
      <c r="E307">
        <v>42999</v>
      </c>
      <c r="F307">
        <v>26999</v>
      </c>
      <c r="G307">
        <v>37</v>
      </c>
      <c r="H307">
        <v>16000</v>
      </c>
      <c r="I307" t="s">
        <v>102</v>
      </c>
      <c r="J307">
        <v>4.2</v>
      </c>
      <c r="K307">
        <v>1510</v>
      </c>
      <c r="L307">
        <v>0.3199999999999999</v>
      </c>
      <c r="M307" t="s">
        <v>18</v>
      </c>
    </row>
    <row r="308" spans="1:13" x14ac:dyDescent="0.3">
      <c r="A308" t="s">
        <v>651</v>
      </c>
      <c r="B308" t="s">
        <v>652</v>
      </c>
      <c r="C308" t="s">
        <v>44</v>
      </c>
      <c r="D308" t="s">
        <v>166</v>
      </c>
      <c r="E308">
        <v>1052</v>
      </c>
      <c r="F308">
        <v>893</v>
      </c>
      <c r="G308">
        <v>15</v>
      </c>
      <c r="H308">
        <v>159</v>
      </c>
      <c r="I308" t="s">
        <v>64</v>
      </c>
      <c r="J308">
        <v>4.3</v>
      </c>
      <c r="K308">
        <v>106</v>
      </c>
      <c r="L308">
        <v>0.40766666666666662</v>
      </c>
      <c r="M308" t="s">
        <v>18</v>
      </c>
    </row>
    <row r="309" spans="1:13" x14ac:dyDescent="0.3">
      <c r="A309" t="s">
        <v>653</v>
      </c>
      <c r="B309" t="s">
        <v>654</v>
      </c>
      <c r="C309" t="s">
        <v>44</v>
      </c>
      <c r="D309" t="s">
        <v>54</v>
      </c>
      <c r="E309">
        <v>19990</v>
      </c>
      <c r="F309">
        <v>10990</v>
      </c>
      <c r="G309">
        <v>45</v>
      </c>
      <c r="H309">
        <v>9000</v>
      </c>
      <c r="I309" t="s">
        <v>55</v>
      </c>
      <c r="J309">
        <v>3.7</v>
      </c>
      <c r="K309">
        <v>129</v>
      </c>
      <c r="L309">
        <v>0.1418367346938775</v>
      </c>
      <c r="M309" t="s">
        <v>18</v>
      </c>
    </row>
    <row r="310" spans="1:13" x14ac:dyDescent="0.3">
      <c r="A310" t="s">
        <v>655</v>
      </c>
      <c r="B310" t="s">
        <v>656</v>
      </c>
      <c r="C310" t="s">
        <v>15</v>
      </c>
      <c r="D310" t="s">
        <v>16</v>
      </c>
      <c r="E310">
        <v>1099</v>
      </c>
      <c r="F310">
        <v>379</v>
      </c>
      <c r="G310">
        <v>66</v>
      </c>
      <c r="H310">
        <v>720</v>
      </c>
      <c r="I310" t="s">
        <v>17</v>
      </c>
      <c r="J310">
        <v>4.3</v>
      </c>
      <c r="K310">
        <v>3049</v>
      </c>
      <c r="L310">
        <v>0.2218426501035197</v>
      </c>
      <c r="M310" t="s">
        <v>18</v>
      </c>
    </row>
    <row r="311" spans="1:13" x14ac:dyDescent="0.3">
      <c r="A311" t="s">
        <v>657</v>
      </c>
      <c r="B311" t="s">
        <v>658</v>
      </c>
      <c r="C311" t="s">
        <v>44</v>
      </c>
      <c r="D311" t="s">
        <v>54</v>
      </c>
      <c r="E311">
        <v>25999</v>
      </c>
      <c r="F311">
        <v>16999</v>
      </c>
      <c r="G311">
        <v>35</v>
      </c>
      <c r="H311">
        <v>9000</v>
      </c>
      <c r="I311" t="s">
        <v>55</v>
      </c>
      <c r="J311">
        <v>4.2</v>
      </c>
      <c r="K311">
        <v>32840</v>
      </c>
      <c r="L311">
        <v>0.4046153846153846</v>
      </c>
      <c r="M311" t="s">
        <v>18</v>
      </c>
    </row>
    <row r="312" spans="1:13" x14ac:dyDescent="0.3">
      <c r="A312" t="s">
        <v>659</v>
      </c>
      <c r="B312" t="s">
        <v>660</v>
      </c>
      <c r="C312" t="s">
        <v>44</v>
      </c>
      <c r="D312" t="s">
        <v>45</v>
      </c>
      <c r="E312">
        <v>1899</v>
      </c>
      <c r="F312">
        <v>699</v>
      </c>
      <c r="G312">
        <v>63</v>
      </c>
      <c r="H312">
        <v>1200</v>
      </c>
      <c r="I312" t="s">
        <v>64</v>
      </c>
      <c r="J312">
        <v>4.4000000000000004</v>
      </c>
      <c r="K312">
        <v>390</v>
      </c>
      <c r="L312">
        <v>8.3333333333333301E-2</v>
      </c>
      <c r="M312" t="s">
        <v>103</v>
      </c>
    </row>
    <row r="313" spans="1:13" x14ac:dyDescent="0.3">
      <c r="A313" t="s">
        <v>661</v>
      </c>
      <c r="B313" t="s">
        <v>662</v>
      </c>
      <c r="C313" t="s">
        <v>44</v>
      </c>
      <c r="D313" t="s">
        <v>663</v>
      </c>
      <c r="E313">
        <v>3500</v>
      </c>
      <c r="F313">
        <v>2699</v>
      </c>
      <c r="G313">
        <v>23</v>
      </c>
      <c r="H313">
        <v>801</v>
      </c>
      <c r="I313" t="s">
        <v>167</v>
      </c>
      <c r="J313">
        <v>3.5</v>
      </c>
      <c r="K313">
        <v>621</v>
      </c>
      <c r="L313">
        <v>0.28152777777777771</v>
      </c>
      <c r="M313" t="s">
        <v>18</v>
      </c>
    </row>
    <row r="314" spans="1:13" x14ac:dyDescent="0.3">
      <c r="A314" t="s">
        <v>664</v>
      </c>
      <c r="B314" t="s">
        <v>665</v>
      </c>
      <c r="C314" t="s">
        <v>15</v>
      </c>
      <c r="D314" t="s">
        <v>16</v>
      </c>
      <c r="E314">
        <v>599</v>
      </c>
      <c r="F314">
        <v>129</v>
      </c>
      <c r="G314">
        <v>78</v>
      </c>
      <c r="H314">
        <v>470</v>
      </c>
      <c r="I314" t="s">
        <v>17</v>
      </c>
      <c r="J314">
        <v>4.0999999999999996</v>
      </c>
      <c r="K314">
        <v>265</v>
      </c>
      <c r="L314">
        <v>0.34416666666666668</v>
      </c>
      <c r="M314" t="s">
        <v>18</v>
      </c>
    </row>
    <row r="315" spans="1:13" x14ac:dyDescent="0.3">
      <c r="A315" t="s">
        <v>666</v>
      </c>
      <c r="B315" t="s">
        <v>667</v>
      </c>
      <c r="C315" t="s">
        <v>15</v>
      </c>
      <c r="D315" t="s">
        <v>16</v>
      </c>
      <c r="E315">
        <v>999</v>
      </c>
      <c r="F315">
        <v>389</v>
      </c>
      <c r="G315">
        <v>61</v>
      </c>
      <c r="H315">
        <v>610</v>
      </c>
      <c r="I315" t="s">
        <v>17</v>
      </c>
      <c r="J315">
        <v>4.3</v>
      </c>
      <c r="K315">
        <v>838</v>
      </c>
      <c r="L315">
        <v>0.24283882783882779</v>
      </c>
      <c r="M315" t="s">
        <v>18</v>
      </c>
    </row>
    <row r="316" spans="1:13" x14ac:dyDescent="0.3">
      <c r="A316" t="s">
        <v>668</v>
      </c>
      <c r="B316" t="s">
        <v>669</v>
      </c>
      <c r="C316" t="s">
        <v>44</v>
      </c>
      <c r="D316" t="s">
        <v>124</v>
      </c>
      <c r="E316">
        <v>600</v>
      </c>
      <c r="F316">
        <v>246</v>
      </c>
      <c r="G316">
        <v>59</v>
      </c>
      <c r="H316">
        <v>354</v>
      </c>
      <c r="I316" t="s">
        <v>17</v>
      </c>
      <c r="J316">
        <v>4.2</v>
      </c>
      <c r="K316">
        <v>143</v>
      </c>
      <c r="L316">
        <v>0.4169812271062272</v>
      </c>
      <c r="M316" t="s">
        <v>18</v>
      </c>
    </row>
    <row r="317" spans="1:13" x14ac:dyDescent="0.3">
      <c r="A317" t="s">
        <v>670</v>
      </c>
      <c r="B317" t="s">
        <v>671</v>
      </c>
      <c r="C317" t="s">
        <v>15</v>
      </c>
      <c r="D317" t="s">
        <v>16</v>
      </c>
      <c r="E317">
        <v>799</v>
      </c>
      <c r="F317">
        <v>299</v>
      </c>
      <c r="G317">
        <v>63</v>
      </c>
      <c r="H317">
        <v>500</v>
      </c>
      <c r="I317" t="s">
        <v>17</v>
      </c>
      <c r="J317">
        <v>4</v>
      </c>
      <c r="K317">
        <v>151</v>
      </c>
      <c r="L317">
        <v>0.28111111111111109</v>
      </c>
      <c r="M317" t="s">
        <v>18</v>
      </c>
    </row>
    <row r="318" spans="1:13" x14ac:dyDescent="0.3">
      <c r="A318" t="s">
        <v>672</v>
      </c>
      <c r="B318" t="s">
        <v>673</v>
      </c>
      <c r="C318" t="s">
        <v>44</v>
      </c>
      <c r="D318" t="s">
        <v>124</v>
      </c>
      <c r="E318">
        <v>399</v>
      </c>
      <c r="F318">
        <v>247</v>
      </c>
      <c r="G318">
        <v>38</v>
      </c>
      <c r="H318">
        <v>152</v>
      </c>
      <c r="I318" t="s">
        <v>17</v>
      </c>
      <c r="J318">
        <v>3.9</v>
      </c>
      <c r="K318">
        <v>200</v>
      </c>
      <c r="L318">
        <v>0.1626984126984127</v>
      </c>
      <c r="M318" t="s">
        <v>18</v>
      </c>
    </row>
    <row r="319" spans="1:13" x14ac:dyDescent="0.3">
      <c r="A319" t="s">
        <v>674</v>
      </c>
      <c r="B319" t="s">
        <v>675</v>
      </c>
      <c r="C319" t="s">
        <v>44</v>
      </c>
      <c r="D319" t="s">
        <v>124</v>
      </c>
      <c r="E319">
        <v>2999</v>
      </c>
      <c r="F319">
        <v>1369</v>
      </c>
      <c r="G319">
        <v>54</v>
      </c>
      <c r="H319">
        <v>1630</v>
      </c>
      <c r="I319" t="s">
        <v>64</v>
      </c>
      <c r="J319">
        <v>3.3</v>
      </c>
      <c r="K319">
        <v>227</v>
      </c>
      <c r="L319">
        <v>0.2203703703703703</v>
      </c>
      <c r="M319" t="s">
        <v>18</v>
      </c>
    </row>
    <row r="320" spans="1:13" x14ac:dyDescent="0.3">
      <c r="A320" t="s">
        <v>676</v>
      </c>
      <c r="B320" t="s">
        <v>677</v>
      </c>
      <c r="C320" t="s">
        <v>44</v>
      </c>
      <c r="D320" t="s">
        <v>124</v>
      </c>
      <c r="E320">
        <v>499</v>
      </c>
      <c r="F320">
        <v>199</v>
      </c>
      <c r="G320">
        <v>60</v>
      </c>
      <c r="H320">
        <v>300</v>
      </c>
      <c r="I320" t="s">
        <v>17</v>
      </c>
      <c r="J320">
        <v>3.8</v>
      </c>
      <c r="K320">
        <v>538</v>
      </c>
      <c r="L320">
        <v>0.27361111111111108</v>
      </c>
      <c r="M320" t="s">
        <v>18</v>
      </c>
    </row>
    <row r="321" spans="1:13" x14ac:dyDescent="0.3">
      <c r="A321" t="s">
        <v>678</v>
      </c>
      <c r="B321" t="s">
        <v>679</v>
      </c>
      <c r="C321" t="s">
        <v>44</v>
      </c>
      <c r="D321" t="s">
        <v>45</v>
      </c>
      <c r="E321">
        <v>599</v>
      </c>
      <c r="F321">
        <v>299</v>
      </c>
      <c r="G321">
        <v>50</v>
      </c>
      <c r="H321">
        <v>300</v>
      </c>
      <c r="I321" t="s">
        <v>17</v>
      </c>
      <c r="J321">
        <v>4</v>
      </c>
      <c r="K321">
        <v>171</v>
      </c>
      <c r="L321">
        <v>0.30985507246376809</v>
      </c>
      <c r="M321" t="s">
        <v>18</v>
      </c>
    </row>
    <row r="322" spans="1:13" x14ac:dyDescent="0.3">
      <c r="A322" t="s">
        <v>680</v>
      </c>
      <c r="B322" t="s">
        <v>681</v>
      </c>
      <c r="C322" t="s">
        <v>44</v>
      </c>
      <c r="D322" t="s">
        <v>54</v>
      </c>
      <c r="E322">
        <v>14999</v>
      </c>
      <c r="F322">
        <v>14999</v>
      </c>
      <c r="G322">
        <v>0</v>
      </c>
      <c r="H322">
        <v>0</v>
      </c>
      <c r="I322" t="s">
        <v>55</v>
      </c>
      <c r="J322">
        <v>4.3</v>
      </c>
      <c r="K322">
        <v>27508</v>
      </c>
      <c r="L322">
        <v>0.15235168240850061</v>
      </c>
      <c r="M322" t="s">
        <v>18</v>
      </c>
    </row>
    <row r="323" spans="1:13" x14ac:dyDescent="0.3">
      <c r="A323" t="s">
        <v>682</v>
      </c>
      <c r="B323" t="s">
        <v>683</v>
      </c>
      <c r="C323" t="s">
        <v>15</v>
      </c>
      <c r="D323" t="s">
        <v>16</v>
      </c>
      <c r="E323">
        <v>699</v>
      </c>
      <c r="F323">
        <v>299</v>
      </c>
      <c r="G323">
        <v>57</v>
      </c>
      <c r="H323">
        <v>400</v>
      </c>
      <c r="I323" t="s">
        <v>17</v>
      </c>
      <c r="J323">
        <v>3.9</v>
      </c>
      <c r="K323">
        <v>1454</v>
      </c>
      <c r="L323">
        <v>0.1486158072696534</v>
      </c>
      <c r="M323" t="s">
        <v>18</v>
      </c>
    </row>
    <row r="324" spans="1:13" x14ac:dyDescent="0.3">
      <c r="A324" t="s">
        <v>684</v>
      </c>
      <c r="B324" t="s">
        <v>685</v>
      </c>
      <c r="C324" t="s">
        <v>44</v>
      </c>
      <c r="D324" t="s">
        <v>54</v>
      </c>
      <c r="E324">
        <v>51990</v>
      </c>
      <c r="F324">
        <v>24990</v>
      </c>
      <c r="G324">
        <v>52</v>
      </c>
      <c r="H324">
        <v>27000</v>
      </c>
      <c r="I324" t="s">
        <v>102</v>
      </c>
      <c r="J324">
        <v>4.2</v>
      </c>
      <c r="K324">
        <v>2951</v>
      </c>
      <c r="L324">
        <v>0.35</v>
      </c>
      <c r="M324" t="s">
        <v>18</v>
      </c>
    </row>
    <row r="325" spans="1:13" x14ac:dyDescent="0.3">
      <c r="A325" t="s">
        <v>686</v>
      </c>
      <c r="B325" t="s">
        <v>687</v>
      </c>
      <c r="C325" t="s">
        <v>44</v>
      </c>
      <c r="D325" t="s">
        <v>54</v>
      </c>
      <c r="E325">
        <v>69999</v>
      </c>
      <c r="F325">
        <v>61999</v>
      </c>
      <c r="G325">
        <v>11</v>
      </c>
      <c r="H325">
        <v>8000</v>
      </c>
      <c r="I325" t="s">
        <v>102</v>
      </c>
      <c r="J325">
        <v>4.0999999999999996</v>
      </c>
      <c r="K325">
        <v>6753</v>
      </c>
      <c r="L325">
        <v>0.17936355311355309</v>
      </c>
      <c r="M325" t="s">
        <v>18</v>
      </c>
    </row>
    <row r="326" spans="1:13" x14ac:dyDescent="0.3">
      <c r="A326" t="s">
        <v>688</v>
      </c>
      <c r="B326" t="s">
        <v>689</v>
      </c>
      <c r="C326" t="s">
        <v>44</v>
      </c>
      <c r="D326" t="s">
        <v>54</v>
      </c>
      <c r="E326">
        <v>50000</v>
      </c>
      <c r="F326">
        <v>24499</v>
      </c>
      <c r="G326">
        <v>51</v>
      </c>
      <c r="H326">
        <v>25501</v>
      </c>
      <c r="I326" t="s">
        <v>102</v>
      </c>
      <c r="J326">
        <v>3.9</v>
      </c>
      <c r="K326">
        <v>3518</v>
      </c>
      <c r="L326">
        <v>0.2290650406504065</v>
      </c>
      <c r="M326" t="s">
        <v>18</v>
      </c>
    </row>
    <row r="327" spans="1:13" x14ac:dyDescent="0.3">
      <c r="A327" t="s">
        <v>690</v>
      </c>
      <c r="B327" t="s">
        <v>691</v>
      </c>
      <c r="C327" t="s">
        <v>44</v>
      </c>
      <c r="D327" t="s">
        <v>54</v>
      </c>
      <c r="E327">
        <v>19499</v>
      </c>
      <c r="F327">
        <v>10499</v>
      </c>
      <c r="G327">
        <v>46</v>
      </c>
      <c r="H327">
        <v>9000</v>
      </c>
      <c r="I327" t="s">
        <v>55</v>
      </c>
      <c r="J327">
        <v>4.2</v>
      </c>
      <c r="K327">
        <v>1510</v>
      </c>
      <c r="L327">
        <v>0.3199999999999999</v>
      </c>
      <c r="M327" t="s">
        <v>18</v>
      </c>
    </row>
    <row r="328" spans="1:13" x14ac:dyDescent="0.3">
      <c r="A328" t="s">
        <v>692</v>
      </c>
      <c r="B328" t="s">
        <v>693</v>
      </c>
      <c r="C328" t="s">
        <v>15</v>
      </c>
      <c r="D328" t="s">
        <v>16</v>
      </c>
      <c r="E328">
        <v>999</v>
      </c>
      <c r="F328">
        <v>349</v>
      </c>
      <c r="G328">
        <v>65</v>
      </c>
      <c r="H328">
        <v>650</v>
      </c>
      <c r="I328" t="s">
        <v>17</v>
      </c>
      <c r="J328">
        <v>4.3</v>
      </c>
      <c r="K328">
        <v>838</v>
      </c>
      <c r="L328">
        <v>0.24283882783882779</v>
      </c>
      <c r="M328" t="s">
        <v>18</v>
      </c>
    </row>
    <row r="329" spans="1:13" x14ac:dyDescent="0.3">
      <c r="A329" t="s">
        <v>694</v>
      </c>
      <c r="B329" t="s">
        <v>695</v>
      </c>
      <c r="C329" t="s">
        <v>44</v>
      </c>
      <c r="D329" t="s">
        <v>124</v>
      </c>
      <c r="E329">
        <v>499</v>
      </c>
      <c r="F329">
        <v>197</v>
      </c>
      <c r="G329">
        <v>61</v>
      </c>
      <c r="H329">
        <v>302</v>
      </c>
      <c r="I329" t="s">
        <v>17</v>
      </c>
      <c r="J329">
        <v>3.8</v>
      </c>
      <c r="K329">
        <v>136</v>
      </c>
      <c r="L329">
        <v>0.1096153846153845</v>
      </c>
      <c r="M329" t="s">
        <v>18</v>
      </c>
    </row>
    <row r="330" spans="1:13" x14ac:dyDescent="0.3">
      <c r="A330" t="s">
        <v>696</v>
      </c>
      <c r="B330" t="s">
        <v>697</v>
      </c>
      <c r="C330" t="s">
        <v>44</v>
      </c>
      <c r="D330" t="s">
        <v>485</v>
      </c>
      <c r="E330">
        <v>2499</v>
      </c>
      <c r="F330">
        <v>1299</v>
      </c>
      <c r="G330">
        <v>48</v>
      </c>
      <c r="H330">
        <v>1200</v>
      </c>
      <c r="I330" t="s">
        <v>64</v>
      </c>
      <c r="J330">
        <v>4.3</v>
      </c>
      <c r="K330">
        <v>301</v>
      </c>
      <c r="L330">
        <v>0.47499999999999998</v>
      </c>
      <c r="M330" t="s">
        <v>18</v>
      </c>
    </row>
    <row r="331" spans="1:13" x14ac:dyDescent="0.3">
      <c r="A331" t="s">
        <v>698</v>
      </c>
      <c r="B331" t="s">
        <v>699</v>
      </c>
      <c r="C331" t="s">
        <v>15</v>
      </c>
      <c r="D331" t="s">
        <v>16</v>
      </c>
      <c r="E331">
        <v>1899</v>
      </c>
      <c r="F331">
        <v>1519</v>
      </c>
      <c r="G331">
        <v>20</v>
      </c>
      <c r="H331">
        <v>380</v>
      </c>
      <c r="I331" t="s">
        <v>167</v>
      </c>
      <c r="J331">
        <v>4.4000000000000004</v>
      </c>
      <c r="K331">
        <v>19763</v>
      </c>
      <c r="L331">
        <v>0.44285714285714289</v>
      </c>
      <c r="M331" t="s">
        <v>18</v>
      </c>
    </row>
    <row r="332" spans="1:13" x14ac:dyDescent="0.3">
      <c r="A332" t="s">
        <v>700</v>
      </c>
      <c r="B332" t="s">
        <v>701</v>
      </c>
      <c r="C332" t="s">
        <v>44</v>
      </c>
      <c r="D332" t="s">
        <v>54</v>
      </c>
      <c r="E332">
        <v>69999</v>
      </c>
      <c r="F332">
        <v>46999</v>
      </c>
      <c r="G332">
        <v>33</v>
      </c>
      <c r="H332">
        <v>23000</v>
      </c>
      <c r="I332" t="s">
        <v>102</v>
      </c>
      <c r="J332">
        <v>4.3</v>
      </c>
      <c r="K332">
        <v>21252</v>
      </c>
      <c r="L332">
        <v>0.2433333333333334</v>
      </c>
      <c r="M332" t="s">
        <v>18</v>
      </c>
    </row>
    <row r="333" spans="1:13" x14ac:dyDescent="0.3">
      <c r="A333" t="s">
        <v>702</v>
      </c>
      <c r="B333" t="s">
        <v>703</v>
      </c>
      <c r="C333" t="s">
        <v>15</v>
      </c>
      <c r="D333" t="s">
        <v>16</v>
      </c>
      <c r="E333">
        <v>799</v>
      </c>
      <c r="F333">
        <v>299</v>
      </c>
      <c r="G333">
        <v>63</v>
      </c>
      <c r="H333">
        <v>500</v>
      </c>
      <c r="I333" t="s">
        <v>17</v>
      </c>
      <c r="J333">
        <v>4.3</v>
      </c>
      <c r="K333">
        <v>1902</v>
      </c>
      <c r="L333">
        <v>0.62222222222222223</v>
      </c>
      <c r="M333" t="s">
        <v>18</v>
      </c>
    </row>
    <row r="334" spans="1:13" x14ac:dyDescent="0.3">
      <c r="A334" t="s">
        <v>704</v>
      </c>
      <c r="B334" t="s">
        <v>705</v>
      </c>
      <c r="C334" t="s">
        <v>44</v>
      </c>
      <c r="D334" t="s">
        <v>706</v>
      </c>
      <c r="E334">
        <v>19999</v>
      </c>
      <c r="F334">
        <v>1799</v>
      </c>
      <c r="G334">
        <v>91</v>
      </c>
      <c r="H334">
        <v>18200</v>
      </c>
      <c r="I334" t="s">
        <v>167</v>
      </c>
      <c r="J334">
        <v>4.2</v>
      </c>
      <c r="K334">
        <v>13937</v>
      </c>
      <c r="L334">
        <v>0.1808825944170771</v>
      </c>
      <c r="M334" t="s">
        <v>18</v>
      </c>
    </row>
    <row r="335" spans="1:13" x14ac:dyDescent="0.3">
      <c r="A335" t="s">
        <v>707</v>
      </c>
      <c r="B335" t="s">
        <v>708</v>
      </c>
      <c r="C335" t="s">
        <v>44</v>
      </c>
      <c r="D335" t="s">
        <v>706</v>
      </c>
      <c r="E335">
        <v>9999</v>
      </c>
      <c r="F335">
        <v>1998</v>
      </c>
      <c r="G335">
        <v>80</v>
      </c>
      <c r="H335">
        <v>8001</v>
      </c>
      <c r="I335" t="s">
        <v>167</v>
      </c>
      <c r="J335">
        <v>4.3</v>
      </c>
      <c r="K335">
        <v>27696</v>
      </c>
      <c r="L335">
        <v>0.32101587301587298</v>
      </c>
      <c r="M335" t="s">
        <v>18</v>
      </c>
    </row>
    <row r="336" spans="1:13" x14ac:dyDescent="0.3">
      <c r="A336" t="s">
        <v>709</v>
      </c>
      <c r="B336" t="s">
        <v>710</v>
      </c>
      <c r="C336" t="s">
        <v>44</v>
      </c>
      <c r="D336" t="s">
        <v>706</v>
      </c>
      <c r="E336">
        <v>7990</v>
      </c>
      <c r="F336">
        <v>1999</v>
      </c>
      <c r="G336">
        <v>75</v>
      </c>
      <c r="H336">
        <v>5991</v>
      </c>
      <c r="I336" t="s">
        <v>167</v>
      </c>
      <c r="J336">
        <v>3.8</v>
      </c>
      <c r="K336">
        <v>17831</v>
      </c>
      <c r="L336">
        <v>0.3158374384236452</v>
      </c>
      <c r="M336" t="s">
        <v>18</v>
      </c>
    </row>
    <row r="337" spans="1:13" x14ac:dyDescent="0.3">
      <c r="A337" t="s">
        <v>711</v>
      </c>
      <c r="B337" t="s">
        <v>712</v>
      </c>
      <c r="C337" t="s">
        <v>44</v>
      </c>
      <c r="D337" t="s">
        <v>713</v>
      </c>
      <c r="E337">
        <v>2199</v>
      </c>
      <c r="F337">
        <v>2049</v>
      </c>
      <c r="G337">
        <v>7</v>
      </c>
      <c r="H337">
        <v>150</v>
      </c>
      <c r="I337" t="s">
        <v>167</v>
      </c>
      <c r="J337">
        <v>4.3</v>
      </c>
      <c r="K337">
        <v>178912</v>
      </c>
      <c r="L337">
        <v>0.2382738095238095</v>
      </c>
      <c r="M337" t="s">
        <v>18</v>
      </c>
    </row>
    <row r="338" spans="1:13" x14ac:dyDescent="0.3">
      <c r="A338" t="s">
        <v>714</v>
      </c>
      <c r="B338" t="s">
        <v>715</v>
      </c>
      <c r="C338" t="s">
        <v>44</v>
      </c>
      <c r="D338" t="s">
        <v>716</v>
      </c>
      <c r="E338">
        <v>8999</v>
      </c>
      <c r="F338">
        <v>6499</v>
      </c>
      <c r="G338">
        <v>28</v>
      </c>
      <c r="H338">
        <v>2500</v>
      </c>
      <c r="I338" t="s">
        <v>55</v>
      </c>
      <c r="J338">
        <v>4</v>
      </c>
      <c r="K338">
        <v>7807</v>
      </c>
      <c r="L338">
        <v>0.37185185185185188</v>
      </c>
      <c r="M338" t="s">
        <v>18</v>
      </c>
    </row>
    <row r="339" spans="1:13" x14ac:dyDescent="0.3">
      <c r="A339" t="s">
        <v>717</v>
      </c>
      <c r="B339" t="s">
        <v>718</v>
      </c>
      <c r="C339" t="s">
        <v>44</v>
      </c>
      <c r="D339" t="s">
        <v>716</v>
      </c>
      <c r="E339">
        <v>28999</v>
      </c>
      <c r="F339">
        <v>28999</v>
      </c>
      <c r="G339">
        <v>0</v>
      </c>
      <c r="H339">
        <v>0</v>
      </c>
      <c r="I339" t="s">
        <v>102</v>
      </c>
      <c r="J339">
        <v>4.3</v>
      </c>
      <c r="K339">
        <v>17415</v>
      </c>
      <c r="L339">
        <v>0.1488138238249844</v>
      </c>
      <c r="M339" t="s">
        <v>18</v>
      </c>
    </row>
    <row r="340" spans="1:13" x14ac:dyDescent="0.3">
      <c r="A340" t="s">
        <v>719</v>
      </c>
      <c r="B340" t="s">
        <v>720</v>
      </c>
      <c r="C340" t="s">
        <v>44</v>
      </c>
      <c r="D340" t="s">
        <v>716</v>
      </c>
      <c r="E340">
        <v>28999</v>
      </c>
      <c r="F340">
        <v>28999</v>
      </c>
      <c r="G340">
        <v>0</v>
      </c>
      <c r="H340">
        <v>0</v>
      </c>
      <c r="I340" t="s">
        <v>102</v>
      </c>
      <c r="J340">
        <v>4.3</v>
      </c>
      <c r="K340">
        <v>17415</v>
      </c>
      <c r="L340">
        <v>0.1488138238249844</v>
      </c>
      <c r="M340" t="s">
        <v>18</v>
      </c>
    </row>
    <row r="341" spans="1:13" x14ac:dyDescent="0.3">
      <c r="A341" t="s">
        <v>721</v>
      </c>
      <c r="B341" t="s">
        <v>722</v>
      </c>
      <c r="C341" t="s">
        <v>44</v>
      </c>
      <c r="D341" t="s">
        <v>716</v>
      </c>
      <c r="E341">
        <v>8999</v>
      </c>
      <c r="F341">
        <v>6499</v>
      </c>
      <c r="G341">
        <v>28</v>
      </c>
      <c r="H341">
        <v>2500</v>
      </c>
      <c r="I341" t="s">
        <v>55</v>
      </c>
      <c r="J341">
        <v>4</v>
      </c>
      <c r="K341">
        <v>7807</v>
      </c>
      <c r="L341">
        <v>0.37185185185185188</v>
      </c>
      <c r="M341" t="s">
        <v>18</v>
      </c>
    </row>
    <row r="342" spans="1:13" x14ac:dyDescent="0.3">
      <c r="A342" t="s">
        <v>723</v>
      </c>
      <c r="B342" t="s">
        <v>724</v>
      </c>
      <c r="C342" t="s">
        <v>44</v>
      </c>
      <c r="D342" t="s">
        <v>716</v>
      </c>
      <c r="E342">
        <v>8999</v>
      </c>
      <c r="F342">
        <v>6499</v>
      </c>
      <c r="G342">
        <v>28</v>
      </c>
      <c r="H342">
        <v>2500</v>
      </c>
      <c r="I342" t="s">
        <v>55</v>
      </c>
      <c r="J342">
        <v>4</v>
      </c>
      <c r="K342">
        <v>7807</v>
      </c>
      <c r="L342">
        <v>0.37185185185185188</v>
      </c>
      <c r="M342" t="s">
        <v>18</v>
      </c>
    </row>
    <row r="343" spans="1:13" x14ac:dyDescent="0.3">
      <c r="A343" t="s">
        <v>725</v>
      </c>
      <c r="B343" t="s">
        <v>726</v>
      </c>
      <c r="C343" t="s">
        <v>44</v>
      </c>
      <c r="D343" t="s">
        <v>727</v>
      </c>
      <c r="E343">
        <v>1000</v>
      </c>
      <c r="F343">
        <v>569</v>
      </c>
      <c r="G343">
        <v>43</v>
      </c>
      <c r="H343">
        <v>431</v>
      </c>
      <c r="I343" t="s">
        <v>64</v>
      </c>
      <c r="J343">
        <v>4.4000000000000004</v>
      </c>
      <c r="K343">
        <v>67259</v>
      </c>
      <c r="L343">
        <v>0.328125</v>
      </c>
      <c r="M343" t="s">
        <v>18</v>
      </c>
    </row>
    <row r="344" spans="1:13" x14ac:dyDescent="0.3">
      <c r="A344" t="s">
        <v>728</v>
      </c>
      <c r="B344" t="s">
        <v>729</v>
      </c>
      <c r="C344" t="s">
        <v>44</v>
      </c>
      <c r="D344" t="s">
        <v>706</v>
      </c>
      <c r="E344">
        <v>4999</v>
      </c>
      <c r="F344">
        <v>1898</v>
      </c>
      <c r="G344">
        <v>62</v>
      </c>
      <c r="H344">
        <v>3101</v>
      </c>
      <c r="I344" t="s">
        <v>167</v>
      </c>
      <c r="J344">
        <v>4.0999999999999996</v>
      </c>
      <c r="K344">
        <v>10689</v>
      </c>
      <c r="L344">
        <v>0.32491789819376038</v>
      </c>
      <c r="M344" t="s">
        <v>18</v>
      </c>
    </row>
    <row r="345" spans="1:13" x14ac:dyDescent="0.3">
      <c r="A345" t="s">
        <v>730</v>
      </c>
      <c r="B345" t="s">
        <v>731</v>
      </c>
      <c r="C345" t="s">
        <v>44</v>
      </c>
      <c r="D345" t="s">
        <v>732</v>
      </c>
      <c r="E345">
        <v>1599</v>
      </c>
      <c r="F345">
        <v>1299</v>
      </c>
      <c r="G345">
        <v>19</v>
      </c>
      <c r="H345">
        <v>300</v>
      </c>
      <c r="I345" t="s">
        <v>64</v>
      </c>
      <c r="J345">
        <v>4</v>
      </c>
      <c r="K345">
        <v>128311</v>
      </c>
      <c r="L345">
        <v>0.34707482993197281</v>
      </c>
      <c r="M345" t="s">
        <v>18</v>
      </c>
    </row>
    <row r="346" spans="1:13" x14ac:dyDescent="0.3">
      <c r="A346" t="s">
        <v>733</v>
      </c>
      <c r="B346" t="s">
        <v>734</v>
      </c>
      <c r="C346" t="s">
        <v>44</v>
      </c>
      <c r="D346" t="s">
        <v>706</v>
      </c>
      <c r="E346">
        <v>6990</v>
      </c>
      <c r="F346">
        <v>1499</v>
      </c>
      <c r="G346">
        <v>79</v>
      </c>
      <c r="H346">
        <v>5491</v>
      </c>
      <c r="I346" t="s">
        <v>64</v>
      </c>
      <c r="J346">
        <v>3.9</v>
      </c>
      <c r="K346">
        <v>21796</v>
      </c>
      <c r="L346">
        <v>0.34155844155844151</v>
      </c>
      <c r="M346" t="s">
        <v>18</v>
      </c>
    </row>
    <row r="347" spans="1:13" x14ac:dyDescent="0.3">
      <c r="A347" t="s">
        <v>735</v>
      </c>
      <c r="B347" t="s">
        <v>736</v>
      </c>
      <c r="C347" t="s">
        <v>44</v>
      </c>
      <c r="D347" t="s">
        <v>737</v>
      </c>
      <c r="E347">
        <v>999</v>
      </c>
      <c r="F347">
        <v>599</v>
      </c>
      <c r="G347">
        <v>40</v>
      </c>
      <c r="H347">
        <v>400</v>
      </c>
      <c r="I347" t="s">
        <v>64</v>
      </c>
      <c r="J347">
        <v>4.0999999999999996</v>
      </c>
      <c r="K347">
        <v>192590</v>
      </c>
      <c r="L347">
        <v>0.21087301587301591</v>
      </c>
      <c r="M347" t="s">
        <v>18</v>
      </c>
    </row>
    <row r="348" spans="1:13" x14ac:dyDescent="0.3">
      <c r="A348" t="s">
        <v>738</v>
      </c>
      <c r="B348" t="s">
        <v>739</v>
      </c>
      <c r="C348" t="s">
        <v>44</v>
      </c>
      <c r="D348" t="s">
        <v>716</v>
      </c>
      <c r="E348">
        <v>11999</v>
      </c>
      <c r="F348">
        <v>9499</v>
      </c>
      <c r="G348">
        <v>21</v>
      </c>
      <c r="H348">
        <v>2500</v>
      </c>
      <c r="I348" t="s">
        <v>55</v>
      </c>
      <c r="J348">
        <v>4.2</v>
      </c>
      <c r="K348">
        <v>284</v>
      </c>
      <c r="L348">
        <v>0.18066916823014381</v>
      </c>
      <c r="M348" t="s">
        <v>18</v>
      </c>
    </row>
    <row r="349" spans="1:13" x14ac:dyDescent="0.3">
      <c r="A349" t="s">
        <v>740</v>
      </c>
      <c r="B349" t="s">
        <v>741</v>
      </c>
      <c r="C349" t="s">
        <v>44</v>
      </c>
      <c r="D349" t="s">
        <v>737</v>
      </c>
      <c r="E349">
        <v>2499</v>
      </c>
      <c r="F349">
        <v>599</v>
      </c>
      <c r="G349">
        <v>76</v>
      </c>
      <c r="H349">
        <v>1900</v>
      </c>
      <c r="I349" t="s">
        <v>64</v>
      </c>
      <c r="J349">
        <v>3.9</v>
      </c>
      <c r="K349">
        <v>58162</v>
      </c>
      <c r="L349">
        <v>0.25829600351339482</v>
      </c>
      <c r="M349" t="s">
        <v>18</v>
      </c>
    </row>
    <row r="350" spans="1:13" x14ac:dyDescent="0.3">
      <c r="A350" t="s">
        <v>742</v>
      </c>
      <c r="B350" t="s">
        <v>743</v>
      </c>
      <c r="C350" t="s">
        <v>44</v>
      </c>
      <c r="D350" t="s">
        <v>716</v>
      </c>
      <c r="E350">
        <v>11999</v>
      </c>
      <c r="F350">
        <v>8999</v>
      </c>
      <c r="G350">
        <v>25</v>
      </c>
      <c r="H350">
        <v>3000</v>
      </c>
      <c r="I350" t="s">
        <v>55</v>
      </c>
      <c r="J350">
        <v>4</v>
      </c>
      <c r="K350">
        <v>12796</v>
      </c>
      <c r="L350">
        <v>0.1966666666666666</v>
      </c>
      <c r="M350" t="s">
        <v>18</v>
      </c>
    </row>
    <row r="351" spans="1:13" x14ac:dyDescent="0.3">
      <c r="A351" t="s">
        <v>744</v>
      </c>
      <c r="B351" t="s">
        <v>745</v>
      </c>
      <c r="C351" t="s">
        <v>44</v>
      </c>
      <c r="D351" t="s">
        <v>746</v>
      </c>
      <c r="E351">
        <v>1299</v>
      </c>
      <c r="F351">
        <v>349</v>
      </c>
      <c r="G351">
        <v>73</v>
      </c>
      <c r="H351">
        <v>950</v>
      </c>
      <c r="I351" t="s">
        <v>17</v>
      </c>
      <c r="J351">
        <v>4</v>
      </c>
      <c r="K351">
        <v>14282</v>
      </c>
      <c r="L351">
        <v>0.37</v>
      </c>
      <c r="M351" t="s">
        <v>18</v>
      </c>
    </row>
    <row r="352" spans="1:13" x14ac:dyDescent="0.3">
      <c r="A352" t="s">
        <v>747</v>
      </c>
      <c r="B352" t="s">
        <v>748</v>
      </c>
      <c r="C352" t="s">
        <v>44</v>
      </c>
      <c r="D352" t="s">
        <v>737</v>
      </c>
      <c r="E352">
        <v>999</v>
      </c>
      <c r="F352">
        <v>349</v>
      </c>
      <c r="G352">
        <v>65</v>
      </c>
      <c r="H352">
        <v>650</v>
      </c>
      <c r="I352" t="s">
        <v>17</v>
      </c>
      <c r="J352">
        <v>4.0999999999999996</v>
      </c>
      <c r="K352">
        <v>363713</v>
      </c>
      <c r="L352">
        <v>0.22971014492753619</v>
      </c>
      <c r="M352" t="s">
        <v>18</v>
      </c>
    </row>
    <row r="353" spans="1:13" x14ac:dyDescent="0.3">
      <c r="A353" t="s">
        <v>749</v>
      </c>
      <c r="B353" t="s">
        <v>750</v>
      </c>
      <c r="C353" t="s">
        <v>44</v>
      </c>
      <c r="D353" t="s">
        <v>727</v>
      </c>
      <c r="E353">
        <v>1800</v>
      </c>
      <c r="F353">
        <v>959</v>
      </c>
      <c r="G353">
        <v>47</v>
      </c>
      <c r="H353">
        <v>841</v>
      </c>
      <c r="I353" t="s">
        <v>64</v>
      </c>
      <c r="J353">
        <v>4.4000000000000004</v>
      </c>
      <c r="K353">
        <v>67259</v>
      </c>
      <c r="L353">
        <v>0.328125</v>
      </c>
      <c r="M353" t="s">
        <v>18</v>
      </c>
    </row>
    <row r="354" spans="1:13" x14ac:dyDescent="0.3">
      <c r="A354" t="s">
        <v>751</v>
      </c>
      <c r="B354" t="s">
        <v>752</v>
      </c>
      <c r="C354" t="s">
        <v>44</v>
      </c>
      <c r="D354" t="s">
        <v>716</v>
      </c>
      <c r="E354">
        <v>11999</v>
      </c>
      <c r="F354">
        <v>9499</v>
      </c>
      <c r="G354">
        <v>21</v>
      </c>
      <c r="H354">
        <v>2500</v>
      </c>
      <c r="I354" t="s">
        <v>55</v>
      </c>
      <c r="J354">
        <v>4.2</v>
      </c>
      <c r="K354">
        <v>284</v>
      </c>
      <c r="L354">
        <v>0.18066916823014381</v>
      </c>
      <c r="M354" t="s">
        <v>18</v>
      </c>
    </row>
    <row r="355" spans="1:13" x14ac:dyDescent="0.3">
      <c r="A355" t="s">
        <v>753</v>
      </c>
      <c r="B355" t="s">
        <v>754</v>
      </c>
      <c r="C355" t="s">
        <v>44</v>
      </c>
      <c r="D355" t="s">
        <v>713</v>
      </c>
      <c r="E355">
        <v>2499</v>
      </c>
      <c r="F355">
        <v>1499</v>
      </c>
      <c r="G355">
        <v>40</v>
      </c>
      <c r="H355">
        <v>1000</v>
      </c>
      <c r="I355" t="s">
        <v>64</v>
      </c>
      <c r="J355">
        <v>4.3</v>
      </c>
      <c r="K355">
        <v>15970</v>
      </c>
      <c r="L355">
        <v>0.3717333333333333</v>
      </c>
      <c r="M355" t="s">
        <v>18</v>
      </c>
    </row>
    <row r="356" spans="1:13" x14ac:dyDescent="0.3">
      <c r="A356" t="s">
        <v>755</v>
      </c>
      <c r="B356" t="s">
        <v>756</v>
      </c>
      <c r="C356" t="s">
        <v>44</v>
      </c>
      <c r="D356" t="s">
        <v>713</v>
      </c>
      <c r="E356">
        <v>2199</v>
      </c>
      <c r="F356">
        <v>1149</v>
      </c>
      <c r="G356">
        <v>48</v>
      </c>
      <c r="H356">
        <v>1050</v>
      </c>
      <c r="I356" t="s">
        <v>64</v>
      </c>
      <c r="J356">
        <v>4.3</v>
      </c>
      <c r="K356">
        <v>178912</v>
      </c>
      <c r="L356">
        <v>0.2382738095238095</v>
      </c>
      <c r="M356" t="s">
        <v>18</v>
      </c>
    </row>
    <row r="357" spans="1:13" x14ac:dyDescent="0.3">
      <c r="A357" t="s">
        <v>757</v>
      </c>
      <c r="B357" t="s">
        <v>758</v>
      </c>
      <c r="C357" t="s">
        <v>44</v>
      </c>
      <c r="D357" t="s">
        <v>759</v>
      </c>
      <c r="E357">
        <v>999</v>
      </c>
      <c r="F357">
        <v>349</v>
      </c>
      <c r="G357">
        <v>65</v>
      </c>
      <c r="H357">
        <v>650</v>
      </c>
      <c r="I357" t="s">
        <v>17</v>
      </c>
      <c r="J357">
        <v>3.9</v>
      </c>
      <c r="K357">
        <v>46399</v>
      </c>
      <c r="L357">
        <v>0.1955729166666666</v>
      </c>
      <c r="M357" t="s">
        <v>18</v>
      </c>
    </row>
    <row r="358" spans="1:13" x14ac:dyDescent="0.3">
      <c r="A358" t="s">
        <v>760</v>
      </c>
      <c r="B358" t="s">
        <v>761</v>
      </c>
      <c r="C358" t="s">
        <v>44</v>
      </c>
      <c r="D358" t="s">
        <v>762</v>
      </c>
      <c r="E358">
        <v>1699</v>
      </c>
      <c r="F358">
        <v>1219</v>
      </c>
      <c r="G358">
        <v>28</v>
      </c>
      <c r="H358">
        <v>480</v>
      </c>
      <c r="I358" t="s">
        <v>64</v>
      </c>
      <c r="J358">
        <v>4.4000000000000004</v>
      </c>
      <c r="K358">
        <v>8891</v>
      </c>
      <c r="L358">
        <v>0.109069715007215</v>
      </c>
      <c r="M358" t="s">
        <v>18</v>
      </c>
    </row>
    <row r="359" spans="1:13" x14ac:dyDescent="0.3">
      <c r="A359" t="s">
        <v>763</v>
      </c>
      <c r="B359" t="s">
        <v>764</v>
      </c>
      <c r="C359" t="s">
        <v>44</v>
      </c>
      <c r="D359" t="s">
        <v>706</v>
      </c>
      <c r="E359">
        <v>3999</v>
      </c>
      <c r="F359">
        <v>1599</v>
      </c>
      <c r="G359">
        <v>60</v>
      </c>
      <c r="H359">
        <v>2400</v>
      </c>
      <c r="I359" t="s">
        <v>167</v>
      </c>
      <c r="J359">
        <v>4</v>
      </c>
      <c r="K359">
        <v>30254</v>
      </c>
      <c r="L359">
        <v>0.25285714285714289</v>
      </c>
      <c r="M359" t="s">
        <v>18</v>
      </c>
    </row>
    <row r="360" spans="1:13" x14ac:dyDescent="0.3">
      <c r="A360" t="s">
        <v>765</v>
      </c>
      <c r="B360" t="s">
        <v>766</v>
      </c>
      <c r="C360" t="s">
        <v>44</v>
      </c>
      <c r="D360" t="s">
        <v>706</v>
      </c>
      <c r="E360">
        <v>7999</v>
      </c>
      <c r="F360">
        <v>1499</v>
      </c>
      <c r="G360">
        <v>81</v>
      </c>
      <c r="H360">
        <v>6500</v>
      </c>
      <c r="I360" t="s">
        <v>64</v>
      </c>
      <c r="J360">
        <v>4.2</v>
      </c>
      <c r="K360">
        <v>22636</v>
      </c>
      <c r="L360">
        <v>0.3772161172161172</v>
      </c>
      <c r="M360" t="s">
        <v>18</v>
      </c>
    </row>
    <row r="361" spans="1:13" x14ac:dyDescent="0.3">
      <c r="A361" t="s">
        <v>767</v>
      </c>
      <c r="B361" t="s">
        <v>768</v>
      </c>
      <c r="C361" t="s">
        <v>44</v>
      </c>
      <c r="D361" t="s">
        <v>716</v>
      </c>
      <c r="E361">
        <v>25999</v>
      </c>
      <c r="F361">
        <v>18499</v>
      </c>
      <c r="G361">
        <v>29</v>
      </c>
      <c r="H361">
        <v>7500</v>
      </c>
      <c r="I361" t="s">
        <v>55</v>
      </c>
      <c r="J361">
        <v>4.0999999999999996</v>
      </c>
      <c r="K361">
        <v>22318</v>
      </c>
      <c r="L361">
        <v>0.19650411427197129</v>
      </c>
      <c r="M361" t="s">
        <v>18</v>
      </c>
    </row>
    <row r="362" spans="1:13" x14ac:dyDescent="0.3">
      <c r="A362" t="s">
        <v>769</v>
      </c>
      <c r="B362" t="s">
        <v>770</v>
      </c>
      <c r="C362" t="s">
        <v>44</v>
      </c>
      <c r="D362" t="s">
        <v>727</v>
      </c>
      <c r="E362">
        <v>700</v>
      </c>
      <c r="F362">
        <v>369</v>
      </c>
      <c r="G362">
        <v>47</v>
      </c>
      <c r="H362">
        <v>331</v>
      </c>
      <c r="I362" t="s">
        <v>17</v>
      </c>
      <c r="J362">
        <v>4.4000000000000004</v>
      </c>
      <c r="K362">
        <v>67259</v>
      </c>
      <c r="L362">
        <v>0.328125</v>
      </c>
      <c r="M362" t="s">
        <v>18</v>
      </c>
    </row>
    <row r="363" spans="1:13" x14ac:dyDescent="0.3">
      <c r="A363" t="s">
        <v>771</v>
      </c>
      <c r="B363" t="s">
        <v>772</v>
      </c>
      <c r="C363" t="s">
        <v>44</v>
      </c>
      <c r="D363" t="s">
        <v>716</v>
      </c>
      <c r="E363">
        <v>17999</v>
      </c>
      <c r="F363">
        <v>12999</v>
      </c>
      <c r="G363">
        <v>28</v>
      </c>
      <c r="H363">
        <v>5000</v>
      </c>
      <c r="I363" t="s">
        <v>55</v>
      </c>
      <c r="J363">
        <v>4.0999999999999996</v>
      </c>
      <c r="K363">
        <v>18998</v>
      </c>
      <c r="L363">
        <v>0.213969494047619</v>
      </c>
      <c r="M363" t="s">
        <v>18</v>
      </c>
    </row>
    <row r="364" spans="1:13" x14ac:dyDescent="0.3">
      <c r="A364" t="s">
        <v>773</v>
      </c>
      <c r="B364" t="s">
        <v>705</v>
      </c>
      <c r="C364" t="s">
        <v>44</v>
      </c>
      <c r="D364" t="s">
        <v>706</v>
      </c>
      <c r="E364">
        <v>19999</v>
      </c>
      <c r="F364">
        <v>1799</v>
      </c>
      <c r="G364">
        <v>91</v>
      </c>
      <c r="H364">
        <v>18200</v>
      </c>
      <c r="I364" t="s">
        <v>167</v>
      </c>
      <c r="J364">
        <v>4.2</v>
      </c>
      <c r="K364">
        <v>13937</v>
      </c>
      <c r="L364">
        <v>0.1808825944170771</v>
      </c>
      <c r="M364" t="s">
        <v>18</v>
      </c>
    </row>
    <row r="365" spans="1:13" x14ac:dyDescent="0.3">
      <c r="A365" t="s">
        <v>774</v>
      </c>
      <c r="B365" t="s">
        <v>775</v>
      </c>
      <c r="C365" t="s">
        <v>44</v>
      </c>
      <c r="D365" t="s">
        <v>706</v>
      </c>
      <c r="E365">
        <v>9999</v>
      </c>
      <c r="F365">
        <v>2199</v>
      </c>
      <c r="G365">
        <v>78</v>
      </c>
      <c r="H365">
        <v>7800</v>
      </c>
      <c r="I365" t="s">
        <v>167</v>
      </c>
      <c r="J365">
        <v>4.2</v>
      </c>
      <c r="K365">
        <v>29471</v>
      </c>
      <c r="L365">
        <v>0.24705689847077039</v>
      </c>
      <c r="M365" t="s">
        <v>18</v>
      </c>
    </row>
    <row r="366" spans="1:13" x14ac:dyDescent="0.3">
      <c r="A366" t="s">
        <v>776</v>
      </c>
      <c r="B366" t="s">
        <v>777</v>
      </c>
      <c r="C366" t="s">
        <v>44</v>
      </c>
      <c r="D366" t="s">
        <v>716</v>
      </c>
      <c r="E366">
        <v>24999</v>
      </c>
      <c r="F366">
        <v>16999</v>
      </c>
      <c r="G366">
        <v>32</v>
      </c>
      <c r="H366">
        <v>8000</v>
      </c>
      <c r="I366" t="s">
        <v>55</v>
      </c>
      <c r="J366">
        <v>4.0999999999999996</v>
      </c>
      <c r="K366">
        <v>22318</v>
      </c>
      <c r="L366">
        <v>0.19650411427197129</v>
      </c>
      <c r="M366" t="s">
        <v>18</v>
      </c>
    </row>
    <row r="367" spans="1:13" x14ac:dyDescent="0.3">
      <c r="A367" t="s">
        <v>778</v>
      </c>
      <c r="B367" t="s">
        <v>779</v>
      </c>
      <c 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 r="C368" t="s">
        <v>44</v>
      </c>
      <c r="D368" t="s">
        <v>706</v>
      </c>
      <c r="E368">
        <v>19999</v>
      </c>
      <c r="F368">
        <v>1799</v>
      </c>
      <c r="G368">
        <v>91</v>
      </c>
      <c r="H368">
        <v>18200</v>
      </c>
      <c r="I368" t="s">
        <v>167</v>
      </c>
      <c r="J368">
        <v>4.2</v>
      </c>
      <c r="K368">
        <v>13937</v>
      </c>
      <c r="L368">
        <v>0.1808825944170771</v>
      </c>
      <c r="M368" t="s">
        <v>18</v>
      </c>
    </row>
    <row r="369" spans="1:13" x14ac:dyDescent="0.3">
      <c r="A369" t="s">
        <v>781</v>
      </c>
      <c r="B369" t="s">
        <v>782</v>
      </c>
      <c r="C369" t="s">
        <v>44</v>
      </c>
      <c r="D369" t="s">
        <v>716</v>
      </c>
      <c r="E369">
        <v>10999</v>
      </c>
      <c r="F369">
        <v>8499</v>
      </c>
      <c r="G369">
        <v>23</v>
      </c>
      <c r="H369">
        <v>2500</v>
      </c>
      <c r="I369" t="s">
        <v>55</v>
      </c>
      <c r="J369">
        <v>4.0999999999999996</v>
      </c>
      <c r="K369">
        <v>313836</v>
      </c>
      <c r="L369">
        <v>0.21032967032967029</v>
      </c>
      <c r="M369" t="s">
        <v>18</v>
      </c>
    </row>
    <row r="370" spans="1:13" x14ac:dyDescent="0.3">
      <c r="A370" t="s">
        <v>783</v>
      </c>
      <c r="B370" t="s">
        <v>784</v>
      </c>
      <c r="C370" t="s">
        <v>44</v>
      </c>
      <c r="D370" t="s">
        <v>716</v>
      </c>
      <c r="E370">
        <v>8499</v>
      </c>
      <c r="F370">
        <v>6499</v>
      </c>
      <c r="G370">
        <v>24</v>
      </c>
      <c r="H370">
        <v>2000</v>
      </c>
      <c r="I370" t="s">
        <v>55</v>
      </c>
      <c r="J370">
        <v>4.0999999999999996</v>
      </c>
      <c r="K370">
        <v>313836</v>
      </c>
      <c r="L370">
        <v>0.21032967032967029</v>
      </c>
      <c r="M370" t="s">
        <v>18</v>
      </c>
    </row>
    <row r="371" spans="1:13" x14ac:dyDescent="0.3">
      <c r="A371" t="s">
        <v>785</v>
      </c>
      <c r="B371" t="s">
        <v>705</v>
      </c>
      <c r="C371" t="s">
        <v>44</v>
      </c>
      <c r="D371" t="s">
        <v>706</v>
      </c>
      <c r="E371">
        <v>19999</v>
      </c>
      <c r="F371">
        <v>1799</v>
      </c>
      <c r="G371">
        <v>91</v>
      </c>
      <c r="H371">
        <v>18200</v>
      </c>
      <c r="I371" t="s">
        <v>167</v>
      </c>
      <c r="J371">
        <v>4.2</v>
      </c>
      <c r="K371">
        <v>13937</v>
      </c>
      <c r="L371">
        <v>0.1808825944170771</v>
      </c>
      <c r="M371" t="s">
        <v>18</v>
      </c>
    </row>
    <row r="372" spans="1:13" x14ac:dyDescent="0.3">
      <c r="A372" t="s">
        <v>786</v>
      </c>
      <c r="B372" t="s">
        <v>787</v>
      </c>
      <c r="C372" t="s">
        <v>44</v>
      </c>
      <c r="D372" t="s">
        <v>716</v>
      </c>
      <c r="E372">
        <v>11999</v>
      </c>
      <c r="F372">
        <v>8999</v>
      </c>
      <c r="G372">
        <v>25</v>
      </c>
      <c r="H372">
        <v>3000</v>
      </c>
      <c r="I372" t="s">
        <v>55</v>
      </c>
      <c r="J372">
        <v>4</v>
      </c>
      <c r="K372">
        <v>12796</v>
      </c>
      <c r="L372">
        <v>0.1966666666666666</v>
      </c>
      <c r="M372" t="s">
        <v>18</v>
      </c>
    </row>
    <row r="373" spans="1:13" x14ac:dyDescent="0.3">
      <c r="A373" t="s">
        <v>788</v>
      </c>
      <c r="B373" t="s">
        <v>789</v>
      </c>
      <c r="C373" t="s">
        <v>44</v>
      </c>
      <c r="D373" t="s">
        <v>790</v>
      </c>
      <c r="E373">
        <v>495</v>
      </c>
      <c r="F373">
        <v>139</v>
      </c>
      <c r="G373">
        <v>72</v>
      </c>
      <c r="H373">
        <v>356</v>
      </c>
      <c r="I373" t="s">
        <v>17</v>
      </c>
      <c r="J373">
        <v>4.3</v>
      </c>
      <c r="K373">
        <v>14185</v>
      </c>
      <c r="L373">
        <v>0.35083333333333327</v>
      </c>
      <c r="M373" t="s">
        <v>18</v>
      </c>
    </row>
    <row r="374" spans="1:13" x14ac:dyDescent="0.3">
      <c r="A374" t="s">
        <v>791</v>
      </c>
      <c r="B374" t="s">
        <v>792</v>
      </c>
      <c r="C374" t="s">
        <v>44</v>
      </c>
      <c r="D374" t="s">
        <v>706</v>
      </c>
      <c r="E374">
        <v>16999</v>
      </c>
      <c r="F374">
        <v>3999</v>
      </c>
      <c r="G374">
        <v>76</v>
      </c>
      <c r="H374">
        <v>13000</v>
      </c>
      <c r="I374" t="s">
        <v>167</v>
      </c>
      <c r="J374">
        <v>4.3</v>
      </c>
      <c r="K374">
        <v>17159</v>
      </c>
      <c r="L374">
        <v>0.30718901757964262</v>
      </c>
      <c r="M374" t="s">
        <v>18</v>
      </c>
    </row>
    <row r="375" spans="1:13" x14ac:dyDescent="0.3">
      <c r="A375" t="s">
        <v>793</v>
      </c>
      <c r="B375" t="s">
        <v>794</v>
      </c>
      <c r="C375" t="s">
        <v>44</v>
      </c>
      <c r="D375" t="s">
        <v>706</v>
      </c>
      <c r="E375">
        <v>5999</v>
      </c>
      <c r="F375">
        <v>2998</v>
      </c>
      <c r="G375">
        <v>50</v>
      </c>
      <c r="H375">
        <v>3001</v>
      </c>
      <c r="I375" t="s">
        <v>167</v>
      </c>
      <c r="J375">
        <v>4.0999999999999996</v>
      </c>
      <c r="K375">
        <v>5179</v>
      </c>
      <c r="L375">
        <v>0.2047619047619047</v>
      </c>
      <c r="M375" t="s">
        <v>18</v>
      </c>
    </row>
    <row r="376" spans="1:13" x14ac:dyDescent="0.3">
      <c r="A376" t="s">
        <v>795</v>
      </c>
      <c r="B376" t="s">
        <v>796</v>
      </c>
      <c r="C376" t="s">
        <v>44</v>
      </c>
      <c r="D376" t="s">
        <v>716</v>
      </c>
      <c r="E376">
        <v>18999</v>
      </c>
      <c r="F376">
        <v>15499</v>
      </c>
      <c r="G376">
        <v>18</v>
      </c>
      <c r="H376">
        <v>3500</v>
      </c>
      <c r="I376" t="s">
        <v>55</v>
      </c>
      <c r="J376">
        <v>4.0999999999999996</v>
      </c>
      <c r="K376">
        <v>19252</v>
      </c>
      <c r="L376">
        <v>0.31842885375494079</v>
      </c>
      <c r="M376" t="s">
        <v>18</v>
      </c>
    </row>
    <row r="377" spans="1:13" x14ac:dyDescent="0.3">
      <c r="A377" t="s">
        <v>797</v>
      </c>
      <c r="B377" t="s">
        <v>705</v>
      </c>
      <c r="C377" t="s">
        <v>44</v>
      </c>
      <c r="D377" t="s">
        <v>706</v>
      </c>
      <c r="E377">
        <v>19999</v>
      </c>
      <c r="F377">
        <v>1799</v>
      </c>
      <c r="G377">
        <v>91</v>
      </c>
      <c r="H377">
        <v>18200</v>
      </c>
      <c r="I377" t="s">
        <v>167</v>
      </c>
      <c r="J377">
        <v>4.2</v>
      </c>
      <c r="K377">
        <v>13937</v>
      </c>
      <c r="L377">
        <v>0.1808825944170771</v>
      </c>
      <c r="M377" t="s">
        <v>18</v>
      </c>
    </row>
    <row r="378" spans="1:13" x14ac:dyDescent="0.3">
      <c r="A378" t="s">
        <v>798</v>
      </c>
      <c r="B378" t="s">
        <v>799</v>
      </c>
      <c r="C378" t="s">
        <v>44</v>
      </c>
      <c r="D378" t="s">
        <v>716</v>
      </c>
      <c r="E378">
        <v>11999</v>
      </c>
      <c r="F378">
        <v>8999</v>
      </c>
      <c r="G378">
        <v>25</v>
      </c>
      <c r="H378">
        <v>3000</v>
      </c>
      <c r="I378" t="s">
        <v>55</v>
      </c>
      <c r="J378">
        <v>4</v>
      </c>
      <c r="K378">
        <v>12796</v>
      </c>
      <c r="L378">
        <v>0.1966666666666666</v>
      </c>
      <c r="M378" t="s">
        <v>18</v>
      </c>
    </row>
    <row r="379" spans="1:13" x14ac:dyDescent="0.3">
      <c r="A379" t="s">
        <v>800</v>
      </c>
      <c r="B379" t="s">
        <v>801</v>
      </c>
      <c r="C379" t="s">
        <v>44</v>
      </c>
      <c r="D379" t="s">
        <v>746</v>
      </c>
      <c r="E379">
        <v>1699</v>
      </c>
      <c r="F379">
        <v>873</v>
      </c>
      <c r="G379">
        <v>49</v>
      </c>
      <c r="H379">
        <v>826</v>
      </c>
      <c r="I379" t="s">
        <v>64</v>
      </c>
      <c r="J379">
        <v>4.4000000000000004</v>
      </c>
      <c r="K379">
        <v>1680</v>
      </c>
      <c r="L379">
        <v>0.3833333333333333</v>
      </c>
      <c r="M379" t="s">
        <v>18</v>
      </c>
    </row>
    <row r="380" spans="1:13" x14ac:dyDescent="0.3">
      <c r="A380" t="s">
        <v>802</v>
      </c>
      <c r="B380" t="s">
        <v>803</v>
      </c>
      <c r="C380" t="s">
        <v>44</v>
      </c>
      <c r="D380" t="s">
        <v>716</v>
      </c>
      <c r="E380">
        <v>15999</v>
      </c>
      <c r="F380">
        <v>12999</v>
      </c>
      <c r="G380">
        <v>19</v>
      </c>
      <c r="H380">
        <v>3000</v>
      </c>
      <c r="I380" t="s">
        <v>55</v>
      </c>
      <c r="J380">
        <v>4.2</v>
      </c>
      <c r="K380">
        <v>13246</v>
      </c>
      <c r="L380">
        <v>0.15287474747474741</v>
      </c>
      <c r="M380" t="s">
        <v>18</v>
      </c>
    </row>
    <row r="381" spans="1:13" x14ac:dyDescent="0.3">
      <c r="A381" t="s">
        <v>804</v>
      </c>
      <c r="B381" t="s">
        <v>805</v>
      </c>
      <c r="C381" t="s">
        <v>44</v>
      </c>
      <c r="D381" t="s">
        <v>806</v>
      </c>
      <c r="E381">
        <v>1599</v>
      </c>
      <c r="F381">
        <v>539</v>
      </c>
      <c r="G381">
        <v>66</v>
      </c>
      <c r="H381">
        <v>1060</v>
      </c>
      <c r="I381" t="s">
        <v>64</v>
      </c>
      <c r="J381">
        <v>3.8</v>
      </c>
      <c r="K381">
        <v>14648</v>
      </c>
      <c r="L381">
        <v>0.15773809523809521</v>
      </c>
      <c r="M381" t="s">
        <v>18</v>
      </c>
    </row>
    <row r="382" spans="1:13" x14ac:dyDescent="0.3">
      <c r="A382" t="s">
        <v>807</v>
      </c>
      <c r="B382" t="s">
        <v>708</v>
      </c>
      <c r="C382" t="s">
        <v>44</v>
      </c>
      <c r="D382" t="s">
        <v>706</v>
      </c>
      <c r="E382">
        <v>9999</v>
      </c>
      <c r="F382">
        <v>1999</v>
      </c>
      <c r="G382">
        <v>80</v>
      </c>
      <c r="H382">
        <v>8000</v>
      </c>
      <c r="I382" t="s">
        <v>167</v>
      </c>
      <c r="J382">
        <v>4.3</v>
      </c>
      <c r="K382">
        <v>27696</v>
      </c>
      <c r="L382">
        <v>0.32101587301587298</v>
      </c>
      <c r="M382" t="s">
        <v>18</v>
      </c>
    </row>
    <row r="383" spans="1:13" x14ac:dyDescent="0.3">
      <c r="A383" t="s">
        <v>808</v>
      </c>
      <c r="B383" t="s">
        <v>809</v>
      </c>
      <c r="C383" t="s">
        <v>44</v>
      </c>
      <c r="D383" t="s">
        <v>716</v>
      </c>
      <c r="E383">
        <v>20990</v>
      </c>
      <c r="F383">
        <v>15490</v>
      </c>
      <c r="G383">
        <v>26</v>
      </c>
      <c r="H383">
        <v>5500</v>
      </c>
      <c r="I383" t="s">
        <v>55</v>
      </c>
      <c r="J383">
        <v>4.2</v>
      </c>
      <c r="K383">
        <v>32916</v>
      </c>
      <c r="L383">
        <v>0.38500000000000001</v>
      </c>
      <c r="M383" t="s">
        <v>18</v>
      </c>
    </row>
    <row r="384" spans="1:13" x14ac:dyDescent="0.3">
      <c r="A384" t="s">
        <v>810</v>
      </c>
      <c r="B384" t="s">
        <v>811</v>
      </c>
      <c r="C384" t="s">
        <v>44</v>
      </c>
      <c r="D384" t="s">
        <v>716</v>
      </c>
      <c r="E384">
        <v>24999</v>
      </c>
      <c r="F384">
        <v>19999</v>
      </c>
      <c r="G384">
        <v>20</v>
      </c>
      <c r="H384">
        <v>5000</v>
      </c>
      <c r="I384" t="s">
        <v>55</v>
      </c>
      <c r="J384">
        <v>3.9</v>
      </c>
      <c r="K384">
        <v>25824</v>
      </c>
      <c r="L384">
        <v>0.22781084656084649</v>
      </c>
      <c r="M384" t="s">
        <v>18</v>
      </c>
    </row>
    <row r="385" spans="1:13" x14ac:dyDescent="0.3">
      <c r="A385" t="s">
        <v>812</v>
      </c>
      <c r="B385" t="s">
        <v>813</v>
      </c>
      <c r="C385" t="s">
        <v>44</v>
      </c>
      <c r="D385" t="s">
        <v>762</v>
      </c>
      <c r="E385">
        <v>1699</v>
      </c>
      <c r="F385">
        <v>1075</v>
      </c>
      <c r="G385">
        <v>37</v>
      </c>
      <c r="H385">
        <v>624</v>
      </c>
      <c r="I385" t="s">
        <v>64</v>
      </c>
      <c r="J385">
        <v>4.4000000000000004</v>
      </c>
      <c r="K385">
        <v>7462</v>
      </c>
      <c r="L385">
        <v>0.26407312925170068</v>
      </c>
      <c r="M385" t="s">
        <v>18</v>
      </c>
    </row>
    <row r="386" spans="1:13" x14ac:dyDescent="0.3">
      <c r="A386" t="s">
        <v>814</v>
      </c>
      <c r="B386" t="s">
        <v>815</v>
      </c>
      <c r="C386" t="s">
        <v>44</v>
      </c>
      <c r="D386" t="s">
        <v>737</v>
      </c>
      <c r="E386">
        <v>699</v>
      </c>
      <c r="F386">
        <v>399</v>
      </c>
      <c r="G386">
        <v>43</v>
      </c>
      <c r="H386">
        <v>300</v>
      </c>
      <c r="I386" t="s">
        <v>17</v>
      </c>
      <c r="J386">
        <v>4</v>
      </c>
      <c r="K386">
        <v>37817</v>
      </c>
      <c r="L386">
        <v>0.29583333333333339</v>
      </c>
      <c r="M386" t="s">
        <v>18</v>
      </c>
    </row>
    <row r="387" spans="1:13" x14ac:dyDescent="0.3">
      <c r="A387" t="s">
        <v>816</v>
      </c>
      <c r="B387" t="s">
        <v>817</v>
      </c>
      <c r="C387" t="s">
        <v>44</v>
      </c>
      <c r="D387" t="s">
        <v>706</v>
      </c>
      <c r="E387">
        <v>3990</v>
      </c>
      <c r="F387">
        <v>1999</v>
      </c>
      <c r="G387">
        <v>50</v>
      </c>
      <c r="H387">
        <v>1991</v>
      </c>
      <c r="I387" t="s">
        <v>167</v>
      </c>
      <c r="J387">
        <v>4</v>
      </c>
      <c r="K387">
        <v>30254</v>
      </c>
      <c r="L387">
        <v>0.25285714285714289</v>
      </c>
      <c r="M387" t="s">
        <v>18</v>
      </c>
    </row>
    <row r="388" spans="1:13" x14ac:dyDescent="0.3">
      <c r="A388" t="s">
        <v>818</v>
      </c>
      <c r="B388" t="s">
        <v>819</v>
      </c>
      <c r="C388" t="s">
        <v>44</v>
      </c>
      <c r="D388" t="s">
        <v>706</v>
      </c>
      <c r="E388">
        <v>7990</v>
      </c>
      <c r="F388">
        <v>1999</v>
      </c>
      <c r="G388">
        <v>75</v>
      </c>
      <c r="H388">
        <v>5991</v>
      </c>
      <c r="I388" t="s">
        <v>167</v>
      </c>
      <c r="J388">
        <v>3.8</v>
      </c>
      <c r="K388">
        <v>17831</v>
      </c>
      <c r="L388">
        <v>0.3158374384236452</v>
      </c>
      <c r="M388" t="s">
        <v>18</v>
      </c>
    </row>
    <row r="389" spans="1:13" x14ac:dyDescent="0.3">
      <c r="A389" t="s">
        <v>820</v>
      </c>
      <c r="B389" t="s">
        <v>821</v>
      </c>
      <c r="C389" t="s">
        <v>44</v>
      </c>
      <c r="D389" t="s">
        <v>716</v>
      </c>
      <c r="E389">
        <v>34999</v>
      </c>
      <c r="F389">
        <v>28999</v>
      </c>
      <c r="G389">
        <v>17</v>
      </c>
      <c r="H389">
        <v>6000</v>
      </c>
      <c r="I389" t="s">
        <v>102</v>
      </c>
      <c r="J389">
        <v>4.4000000000000004</v>
      </c>
      <c r="K389">
        <v>20311</v>
      </c>
      <c r="L389">
        <v>9.23905529953917E-2</v>
      </c>
      <c r="M389" t="s">
        <v>103</v>
      </c>
    </row>
    <row r="390" spans="1:13" x14ac:dyDescent="0.3">
      <c r="A390" t="s">
        <v>822</v>
      </c>
      <c r="B390" t="s">
        <v>823</v>
      </c>
      <c r="C390" t="s">
        <v>44</v>
      </c>
      <c r="D390" t="s">
        <v>706</v>
      </c>
      <c r="E390">
        <v>7990</v>
      </c>
      <c r="F390">
        <v>2299</v>
      </c>
      <c r="G390">
        <v>71</v>
      </c>
      <c r="H390">
        <v>5691</v>
      </c>
      <c r="I390" t="s">
        <v>167</v>
      </c>
      <c r="J390">
        <v>4.2</v>
      </c>
      <c r="K390">
        <v>69622</v>
      </c>
      <c r="L390">
        <v>0.13916141456582631</v>
      </c>
      <c r="M390" t="s">
        <v>18</v>
      </c>
    </row>
    <row r="391" spans="1:13" x14ac:dyDescent="0.3">
      <c r="A391" t="s">
        <v>824</v>
      </c>
      <c r="B391" t="s">
        <v>825</v>
      </c>
      <c r="C391" t="s">
        <v>44</v>
      </c>
      <c r="D391" t="s">
        <v>826</v>
      </c>
      <c r="E391">
        <v>1999</v>
      </c>
      <c r="F391">
        <v>399</v>
      </c>
      <c r="G391">
        <v>80</v>
      </c>
      <c r="H391">
        <v>1600</v>
      </c>
      <c r="I391" t="s">
        <v>17</v>
      </c>
      <c r="J391">
        <v>4</v>
      </c>
      <c r="K391">
        <v>3382</v>
      </c>
      <c r="L391">
        <v>0.15470085470085471</v>
      </c>
      <c r="M391" t="s">
        <v>18</v>
      </c>
    </row>
    <row r="392" spans="1:13" x14ac:dyDescent="0.3">
      <c r="A392" t="s">
        <v>827</v>
      </c>
      <c r="B392" t="s">
        <v>828</v>
      </c>
      <c r="C392" t="s">
        <v>44</v>
      </c>
      <c r="D392" t="s">
        <v>727</v>
      </c>
      <c r="E392">
        <v>3999</v>
      </c>
      <c r="F392">
        <v>1149</v>
      </c>
      <c r="G392">
        <v>71</v>
      </c>
      <c r="H392">
        <v>2850</v>
      </c>
      <c r="I392" t="s">
        <v>64</v>
      </c>
      <c r="J392">
        <v>4.3</v>
      </c>
      <c r="K392">
        <v>140036</v>
      </c>
      <c r="L392">
        <v>0.1351851851851851</v>
      </c>
      <c r="M392" t="s">
        <v>18</v>
      </c>
    </row>
    <row r="393" spans="1:13" x14ac:dyDescent="0.3">
      <c r="A393" t="s">
        <v>829</v>
      </c>
      <c r="B393" t="s">
        <v>830</v>
      </c>
      <c r="C393" t="s">
        <v>44</v>
      </c>
      <c r="D393" t="s">
        <v>762</v>
      </c>
      <c r="E393">
        <v>1499</v>
      </c>
      <c r="F393">
        <v>529</v>
      </c>
      <c r="G393">
        <v>65</v>
      </c>
      <c r="H393">
        <v>970</v>
      </c>
      <c r="I393" t="s">
        <v>64</v>
      </c>
      <c r="J393">
        <v>4.0999999999999996</v>
      </c>
      <c r="K393">
        <v>8599</v>
      </c>
      <c r="L393">
        <v>0.43041666666666661</v>
      </c>
      <c r="M393" t="s">
        <v>18</v>
      </c>
    </row>
    <row r="394" spans="1:13" x14ac:dyDescent="0.3">
      <c r="A394" t="s">
        <v>831</v>
      </c>
      <c r="B394" t="s">
        <v>832</v>
      </c>
      <c r="C394" t="s">
        <v>44</v>
      </c>
      <c r="D394" t="s">
        <v>716</v>
      </c>
      <c r="E394">
        <v>19499</v>
      </c>
      <c r="F394">
        <v>13999</v>
      </c>
      <c r="G394">
        <v>28</v>
      </c>
      <c r="H394">
        <v>5500</v>
      </c>
      <c r="I394" t="s">
        <v>55</v>
      </c>
      <c r="J394">
        <v>4.0999999999999996</v>
      </c>
      <c r="K394">
        <v>18998</v>
      </c>
      <c r="L394">
        <v>0.213969494047619</v>
      </c>
      <c r="M394" t="s">
        <v>18</v>
      </c>
    </row>
    <row r="395" spans="1:13" x14ac:dyDescent="0.3">
      <c r="A395" t="s">
        <v>833</v>
      </c>
      <c r="B395" t="s">
        <v>834</v>
      </c>
      <c r="C395" t="s">
        <v>44</v>
      </c>
      <c r="D395" t="s">
        <v>737</v>
      </c>
      <c r="E395">
        <v>999</v>
      </c>
      <c r="F395">
        <v>379</v>
      </c>
      <c r="G395">
        <v>62</v>
      </c>
      <c r="H395">
        <v>620</v>
      </c>
      <c r="I395" t="s">
        <v>17</v>
      </c>
      <c r="J395">
        <v>4.0999999999999996</v>
      </c>
      <c r="K395">
        <v>363713</v>
      </c>
      <c r="L395">
        <v>0.22971014492753619</v>
      </c>
      <c r="M395" t="s">
        <v>18</v>
      </c>
    </row>
    <row r="396" spans="1:13" x14ac:dyDescent="0.3">
      <c r="A396" t="s">
        <v>835</v>
      </c>
      <c r="B396" t="s">
        <v>836</v>
      </c>
      <c r="C396" t="s">
        <v>44</v>
      </c>
      <c r="D396" t="s">
        <v>716</v>
      </c>
      <c r="E396">
        <v>19999</v>
      </c>
      <c r="F396">
        <v>13999</v>
      </c>
      <c r="G396">
        <v>30</v>
      </c>
      <c r="H396">
        <v>6000</v>
      </c>
      <c r="I396" t="s">
        <v>55</v>
      </c>
      <c r="J396">
        <v>4.0999999999999996</v>
      </c>
      <c r="K396">
        <v>19252</v>
      </c>
      <c r="L396">
        <v>0.31842885375494079</v>
      </c>
      <c r="M396" t="s">
        <v>18</v>
      </c>
    </row>
    <row r="397" spans="1:13" x14ac:dyDescent="0.3">
      <c r="A397" t="s">
        <v>837</v>
      </c>
      <c r="B397" t="s">
        <v>838</v>
      </c>
      <c r="C397" t="s">
        <v>44</v>
      </c>
      <c r="D397" t="s">
        <v>706</v>
      </c>
      <c r="E397">
        <v>9999</v>
      </c>
      <c r="F397">
        <v>3999</v>
      </c>
      <c r="G397">
        <v>60</v>
      </c>
      <c r="H397">
        <v>6000</v>
      </c>
      <c r="I397" t="s">
        <v>167</v>
      </c>
      <c r="J397">
        <v>4.4000000000000004</v>
      </c>
      <c r="K397">
        <v>73</v>
      </c>
      <c r="L397">
        <v>0.27457373271889401</v>
      </c>
      <c r="M397" t="s">
        <v>18</v>
      </c>
    </row>
    <row r="398" spans="1:13" x14ac:dyDescent="0.3">
      <c r="A398" t="s">
        <v>839</v>
      </c>
      <c r="B398" t="s">
        <v>840</v>
      </c>
      <c r="C398" t="s">
        <v>44</v>
      </c>
      <c r="D398" t="s">
        <v>841</v>
      </c>
      <c r="E398">
        <v>499</v>
      </c>
      <c r="F398">
        <v>99</v>
      </c>
      <c r="G398">
        <v>80</v>
      </c>
      <c r="H398">
        <v>400</v>
      </c>
      <c r="I398" t="s">
        <v>17</v>
      </c>
      <c r="J398">
        <v>4.3</v>
      </c>
      <c r="K398">
        <v>42641</v>
      </c>
      <c r="L398">
        <v>0.32105454545454548</v>
      </c>
      <c r="M398" t="s">
        <v>18</v>
      </c>
    </row>
    <row r="399" spans="1:13" x14ac:dyDescent="0.3">
      <c r="A399" t="s">
        <v>842</v>
      </c>
      <c r="B399" t="s">
        <v>843</v>
      </c>
      <c r="C399" t="s">
        <v>44</v>
      </c>
      <c r="D399" t="s">
        <v>737</v>
      </c>
      <c r="E399">
        <v>15990</v>
      </c>
      <c r="F399">
        <v>4790</v>
      </c>
      <c r="G399">
        <v>70</v>
      </c>
      <c r="H399">
        <v>11200</v>
      </c>
      <c r="I399" t="s">
        <v>167</v>
      </c>
      <c r="J399">
        <v>4</v>
      </c>
      <c r="K399">
        <v>4390</v>
      </c>
      <c r="L399">
        <v>0.27013132919711869</v>
      </c>
      <c r="M399" t="s">
        <v>18</v>
      </c>
    </row>
    <row r="400" spans="1:13" x14ac:dyDescent="0.3">
      <c r="A400" t="s">
        <v>844</v>
      </c>
      <c r="B400" t="s">
        <v>845</v>
      </c>
      <c r="C400" t="s">
        <v>44</v>
      </c>
      <c r="D400" t="s">
        <v>716</v>
      </c>
      <c r="E400">
        <v>33999</v>
      </c>
      <c r="F400">
        <v>33999</v>
      </c>
      <c r="G400">
        <v>0</v>
      </c>
      <c r="H400">
        <v>0</v>
      </c>
      <c r="I400" t="s">
        <v>102</v>
      </c>
      <c r="J400">
        <v>4.3</v>
      </c>
      <c r="K400">
        <v>17415</v>
      </c>
      <c r="L400">
        <v>0.1488138238249844</v>
      </c>
      <c r="M400" t="s">
        <v>18</v>
      </c>
    </row>
    <row r="401" spans="1:13" x14ac:dyDescent="0.3">
      <c r="A401" t="s">
        <v>846</v>
      </c>
      <c r="B401" t="s">
        <v>847</v>
      </c>
      <c r="C401" t="s">
        <v>15</v>
      </c>
      <c r="D401" t="s">
        <v>848</v>
      </c>
      <c r="E401">
        <v>999</v>
      </c>
      <c r="F401">
        <v>99</v>
      </c>
      <c r="G401">
        <v>90</v>
      </c>
      <c r="H401">
        <v>900</v>
      </c>
      <c r="I401" t="s">
        <v>17</v>
      </c>
      <c r="J401">
        <v>4</v>
      </c>
      <c r="K401">
        <v>1396</v>
      </c>
      <c r="L401">
        <v>0.35777777777777769</v>
      </c>
      <c r="M401" t="s">
        <v>18</v>
      </c>
    </row>
    <row r="402" spans="1:13" x14ac:dyDescent="0.3">
      <c r="A402" t="s">
        <v>849</v>
      </c>
      <c r="B402" t="s">
        <v>850</v>
      </c>
      <c r="C402" t="s">
        <v>44</v>
      </c>
      <c r="D402" t="s">
        <v>737</v>
      </c>
      <c r="E402">
        <v>1900</v>
      </c>
      <c r="F402">
        <v>299</v>
      </c>
      <c r="G402">
        <v>84</v>
      </c>
      <c r="H402">
        <v>1601</v>
      </c>
      <c r="I402" t="s">
        <v>17</v>
      </c>
      <c r="J402">
        <v>3.6</v>
      </c>
      <c r="K402">
        <v>18202</v>
      </c>
      <c r="L402">
        <v>0.2224928193499621</v>
      </c>
      <c r="M402" t="s">
        <v>18</v>
      </c>
    </row>
    <row r="403" spans="1:13" x14ac:dyDescent="0.3">
      <c r="A403" t="s">
        <v>851</v>
      </c>
      <c r="B403" t="s">
        <v>852</v>
      </c>
      <c r="C403" t="s">
        <v>44</v>
      </c>
      <c r="D403" t="s">
        <v>716</v>
      </c>
      <c r="E403">
        <v>14999</v>
      </c>
      <c r="F403">
        <v>10999</v>
      </c>
      <c r="G403">
        <v>27</v>
      </c>
      <c r="H403">
        <v>4000</v>
      </c>
      <c r="I403" t="s">
        <v>55</v>
      </c>
      <c r="J403">
        <v>4.0999999999999996</v>
      </c>
      <c r="K403">
        <v>18998</v>
      </c>
      <c r="L403">
        <v>0.213969494047619</v>
      </c>
      <c r="M403" t="s">
        <v>18</v>
      </c>
    </row>
    <row r="404" spans="1:13" x14ac:dyDescent="0.3">
      <c r="A404" t="s">
        <v>853</v>
      </c>
      <c r="B404" t="s">
        <v>854</v>
      </c>
      <c r="C404" t="s">
        <v>44</v>
      </c>
      <c r="D404" t="s">
        <v>716</v>
      </c>
      <c r="E404">
        <v>38999</v>
      </c>
      <c r="F404">
        <v>34999</v>
      </c>
      <c r="G404">
        <v>10</v>
      </c>
      <c r="H404">
        <v>4000</v>
      </c>
      <c r="I404" t="s">
        <v>102</v>
      </c>
      <c r="J404">
        <v>4.2</v>
      </c>
      <c r="K404">
        <v>11029</v>
      </c>
      <c r="L404">
        <v>0.2280798079807981</v>
      </c>
      <c r="M404" t="s">
        <v>18</v>
      </c>
    </row>
    <row r="405" spans="1:13" x14ac:dyDescent="0.3">
      <c r="A405" t="s">
        <v>855</v>
      </c>
      <c r="B405" t="s">
        <v>777</v>
      </c>
      <c r="C405" t="s">
        <v>44</v>
      </c>
      <c r="D405" t="s">
        <v>716</v>
      </c>
      <c r="E405">
        <v>24999</v>
      </c>
      <c r="F405">
        <v>16999</v>
      </c>
      <c r="G405">
        <v>32</v>
      </c>
      <c r="H405">
        <v>8000</v>
      </c>
      <c r="I405" t="s">
        <v>55</v>
      </c>
      <c r="J405">
        <v>4.0999999999999996</v>
      </c>
      <c r="K405">
        <v>22318</v>
      </c>
      <c r="L405">
        <v>0.19650411427197129</v>
      </c>
      <c r="M405" t="s">
        <v>18</v>
      </c>
    </row>
    <row r="406" spans="1:13" x14ac:dyDescent="0.3">
      <c r="A406" t="s">
        <v>856</v>
      </c>
      <c r="B406" t="s">
        <v>857</v>
      </c>
      <c r="C406" t="s">
        <v>44</v>
      </c>
      <c r="D406" t="s">
        <v>841</v>
      </c>
      <c r="E406">
        <v>499</v>
      </c>
      <c r="F406">
        <v>199</v>
      </c>
      <c r="G406">
        <v>60</v>
      </c>
      <c r="H406">
        <v>300</v>
      </c>
      <c r="I406" t="s">
        <v>17</v>
      </c>
      <c r="J406">
        <v>4.0999999999999996</v>
      </c>
      <c r="K406">
        <v>1786</v>
      </c>
      <c r="L406">
        <v>0.18499999999999989</v>
      </c>
      <c r="M406" t="s">
        <v>18</v>
      </c>
    </row>
    <row r="407" spans="1:13" x14ac:dyDescent="0.3">
      <c r="A407" t="s">
        <v>858</v>
      </c>
      <c r="B407" t="s">
        <v>859</v>
      </c>
      <c r="C407" t="s">
        <v>44</v>
      </c>
      <c r="D407" t="s">
        <v>713</v>
      </c>
      <c r="E407">
        <v>1599</v>
      </c>
      <c r="F407">
        <v>999</v>
      </c>
      <c r="G407">
        <v>38</v>
      </c>
      <c r="H407">
        <v>600</v>
      </c>
      <c r="I407" t="s">
        <v>64</v>
      </c>
      <c r="J407">
        <v>4</v>
      </c>
      <c r="K407">
        <v>7222</v>
      </c>
      <c r="L407">
        <v>0.45913165266106448</v>
      </c>
      <c r="M407" t="s">
        <v>18</v>
      </c>
    </row>
    <row r="408" spans="1:13" x14ac:dyDescent="0.3">
      <c r="A408" t="s">
        <v>860</v>
      </c>
      <c r="B408" t="s">
        <v>861</v>
      </c>
      <c r="C408" t="s">
        <v>44</v>
      </c>
      <c r="D408" t="s">
        <v>732</v>
      </c>
      <c r="E408">
        <v>1599</v>
      </c>
      <c r="F408">
        <v>1299</v>
      </c>
      <c r="G408">
        <v>19</v>
      </c>
      <c r="H408">
        <v>300</v>
      </c>
      <c r="I408" t="s">
        <v>64</v>
      </c>
      <c r="J408">
        <v>4</v>
      </c>
      <c r="K408">
        <v>128311</v>
      </c>
      <c r="L408">
        <v>0.34707482993197281</v>
      </c>
      <c r="M408" t="s">
        <v>18</v>
      </c>
    </row>
    <row r="409" spans="1:13" x14ac:dyDescent="0.3">
      <c r="A409" t="s">
        <v>862</v>
      </c>
      <c r="B409" t="s">
        <v>863</v>
      </c>
      <c r="C409" t="s">
        <v>44</v>
      </c>
      <c r="D409" t="s">
        <v>737</v>
      </c>
      <c r="E409">
        <v>1800</v>
      </c>
      <c r="F409">
        <v>599</v>
      </c>
      <c r="G409">
        <v>67</v>
      </c>
      <c r="H409">
        <v>1201</v>
      </c>
      <c r="I409" t="s">
        <v>64</v>
      </c>
      <c r="J409">
        <v>3.5</v>
      </c>
      <c r="K409">
        <v>83996</v>
      </c>
      <c r="L409">
        <v>9.8400297619047603E-2</v>
      </c>
      <c r="M409" t="s">
        <v>103</v>
      </c>
    </row>
    <row r="410" spans="1:13" x14ac:dyDescent="0.3">
      <c r="A410" t="s">
        <v>864</v>
      </c>
      <c r="B410" t="s">
        <v>865</v>
      </c>
      <c r="C410" t="s">
        <v>44</v>
      </c>
      <c r="D410" t="s">
        <v>727</v>
      </c>
      <c r="E410">
        <v>1899</v>
      </c>
      <c r="F410">
        <v>599</v>
      </c>
      <c r="G410">
        <v>68</v>
      </c>
      <c r="H410">
        <v>1300</v>
      </c>
      <c r="I410" t="s">
        <v>64</v>
      </c>
      <c r="J410">
        <v>4.3</v>
      </c>
      <c r="K410">
        <v>140036</v>
      </c>
      <c r="L410">
        <v>0.1351851851851851</v>
      </c>
      <c r="M410" t="s">
        <v>18</v>
      </c>
    </row>
    <row r="411" spans="1:13" x14ac:dyDescent="0.3">
      <c r="A411" t="s">
        <v>866</v>
      </c>
      <c r="B411" t="s">
        <v>867</v>
      </c>
      <c r="C411" t="s">
        <v>44</v>
      </c>
      <c r="D411" t="s">
        <v>713</v>
      </c>
      <c r="E411">
        <v>2499</v>
      </c>
      <c r="F411">
        <v>1799</v>
      </c>
      <c r="G411">
        <v>28</v>
      </c>
      <c r="H411">
        <v>700</v>
      </c>
      <c r="I411" t="s">
        <v>167</v>
      </c>
      <c r="J411">
        <v>4.0999999999999996</v>
      </c>
      <c r="K411">
        <v>18678</v>
      </c>
      <c r="L411">
        <v>0.16363178126221589</v>
      </c>
      <c r="M411" t="s">
        <v>18</v>
      </c>
    </row>
    <row r="412" spans="1:13" x14ac:dyDescent="0.3">
      <c r="A412" t="s">
        <v>868</v>
      </c>
      <c r="B412" t="s">
        <v>869</v>
      </c>
      <c r="C412" t="s">
        <v>44</v>
      </c>
      <c r="D412" t="s">
        <v>716</v>
      </c>
      <c r="E412">
        <v>14999</v>
      </c>
      <c r="F412">
        <v>10999</v>
      </c>
      <c r="G412">
        <v>27</v>
      </c>
      <c r="H412">
        <v>4000</v>
      </c>
      <c r="I412" t="s">
        <v>55</v>
      </c>
      <c r="J412">
        <v>4.0999999999999996</v>
      </c>
      <c r="K412">
        <v>18998</v>
      </c>
      <c r="L412">
        <v>0.213969494047619</v>
      </c>
      <c r="M412" t="s">
        <v>18</v>
      </c>
    </row>
    <row r="413" spans="1:13" x14ac:dyDescent="0.3">
      <c r="A413" t="s">
        <v>870</v>
      </c>
      <c r="B413" t="s">
        <v>871</v>
      </c>
      <c r="C413" t="s">
        <v>44</v>
      </c>
      <c r="D413" t="s">
        <v>706</v>
      </c>
      <c r="E413">
        <v>7990</v>
      </c>
      <c r="F413">
        <v>2999</v>
      </c>
      <c r="G413">
        <v>62</v>
      </c>
      <c r="H413">
        <v>4991</v>
      </c>
      <c r="I413" t="s">
        <v>167</v>
      </c>
      <c r="J413">
        <v>4.0999999999999996</v>
      </c>
      <c r="K413">
        <v>48449</v>
      </c>
      <c r="L413">
        <v>0.21300152499016131</v>
      </c>
      <c r="M413" t="s">
        <v>18</v>
      </c>
    </row>
    <row r="414" spans="1:13" x14ac:dyDescent="0.3">
      <c r="A414" t="s">
        <v>872</v>
      </c>
      <c r="B414" t="s">
        <v>873</v>
      </c>
      <c r="C414" t="s">
        <v>44</v>
      </c>
      <c r="D414" t="s">
        <v>706</v>
      </c>
      <c r="E414">
        <v>7990</v>
      </c>
      <c r="F414">
        <v>1999</v>
      </c>
      <c r="G414">
        <v>75</v>
      </c>
      <c r="H414">
        <v>5991</v>
      </c>
      <c r="I414" t="s">
        <v>167</v>
      </c>
      <c r="J414">
        <v>3.8</v>
      </c>
      <c r="K414">
        <v>17831</v>
      </c>
      <c r="L414">
        <v>0.3158374384236452</v>
      </c>
      <c r="M414" t="s">
        <v>18</v>
      </c>
    </row>
    <row r="415" spans="1:13" x14ac:dyDescent="0.3">
      <c r="A415" t="s">
        <v>874</v>
      </c>
      <c r="B415" t="s">
        <v>875</v>
      </c>
      <c r="C415" t="s">
        <v>44</v>
      </c>
      <c r="D415" t="s">
        <v>762</v>
      </c>
      <c r="E415">
        <v>999</v>
      </c>
      <c r="F415">
        <v>649</v>
      </c>
      <c r="G415">
        <v>35</v>
      </c>
      <c r="H415">
        <v>350</v>
      </c>
      <c r="I415" t="s">
        <v>64</v>
      </c>
      <c r="J415">
        <v>4.2</v>
      </c>
      <c r="K415">
        <v>1315</v>
      </c>
      <c r="L415">
        <v>0.3703007518796993</v>
      </c>
      <c r="M415" t="s">
        <v>18</v>
      </c>
    </row>
    <row r="416" spans="1:13" x14ac:dyDescent="0.3">
      <c r="A416" t="s">
        <v>876</v>
      </c>
      <c r="B416" t="s">
        <v>832</v>
      </c>
      <c r="C416" t="s">
        <v>44</v>
      </c>
      <c r="D416" t="s">
        <v>716</v>
      </c>
      <c r="E416">
        <v>19499</v>
      </c>
      <c r="F416">
        <v>13999</v>
      </c>
      <c r="G416">
        <v>28</v>
      </c>
      <c r="H416">
        <v>5500</v>
      </c>
      <c r="I416" t="s">
        <v>55</v>
      </c>
      <c r="J416">
        <v>4.0999999999999996</v>
      </c>
      <c r="K416">
        <v>18998</v>
      </c>
      <c r="L416">
        <v>0.213969494047619</v>
      </c>
      <c r="M416" t="s">
        <v>18</v>
      </c>
    </row>
    <row r="417" spans="1:13" x14ac:dyDescent="0.3">
      <c r="A417" t="s">
        <v>877</v>
      </c>
      <c r="B417" t="s">
        <v>878</v>
      </c>
      <c r="C417" t="s">
        <v>44</v>
      </c>
      <c r="D417" t="s">
        <v>879</v>
      </c>
      <c r="E417">
        <v>299</v>
      </c>
      <c r="F417">
        <v>119</v>
      </c>
      <c r="G417">
        <v>60</v>
      </c>
      <c r="H417">
        <v>180</v>
      </c>
      <c r="I417" t="s">
        <v>17</v>
      </c>
      <c r="J417">
        <v>4.0999999999999996</v>
      </c>
      <c r="K417">
        <v>5999</v>
      </c>
      <c r="L417">
        <v>0.3166666666666666</v>
      </c>
      <c r="M417" t="s">
        <v>18</v>
      </c>
    </row>
    <row r="418" spans="1:13" x14ac:dyDescent="0.3">
      <c r="A418" t="s">
        <v>880</v>
      </c>
      <c r="B418" t="s">
        <v>881</v>
      </c>
      <c r="C418" t="s">
        <v>44</v>
      </c>
      <c r="D418" t="s">
        <v>716</v>
      </c>
      <c r="E418">
        <v>17999</v>
      </c>
      <c r="F418">
        <v>12999</v>
      </c>
      <c r="G418">
        <v>28</v>
      </c>
      <c r="H418">
        <v>5000</v>
      </c>
      <c r="I418" t="s">
        <v>55</v>
      </c>
      <c r="J418">
        <v>4.0999999999999996</v>
      </c>
      <c r="K418">
        <v>50772</v>
      </c>
      <c r="L418">
        <v>0.25200349301397218</v>
      </c>
      <c r="M418" t="s">
        <v>18</v>
      </c>
    </row>
    <row r="419" spans="1:13" x14ac:dyDescent="0.3">
      <c r="A419" t="s">
        <v>882</v>
      </c>
      <c r="B419" t="s">
        <v>883</v>
      </c>
      <c r="C419" t="s">
        <v>44</v>
      </c>
      <c r="D419" t="s">
        <v>716</v>
      </c>
      <c r="E419">
        <v>26999</v>
      </c>
      <c r="F419">
        <v>20999</v>
      </c>
      <c r="G419">
        <v>22</v>
      </c>
      <c r="H419">
        <v>6000</v>
      </c>
      <c r="I419" t="s">
        <v>102</v>
      </c>
      <c r="J419">
        <v>3.9</v>
      </c>
      <c r="K419">
        <v>25824</v>
      </c>
      <c r="L419">
        <v>0.22781084656084649</v>
      </c>
      <c r="M419" t="s">
        <v>18</v>
      </c>
    </row>
    <row r="420" spans="1:13" x14ac:dyDescent="0.3">
      <c r="A420" t="s">
        <v>884</v>
      </c>
      <c r="B420" t="s">
        <v>885</v>
      </c>
      <c r="C420" t="s">
        <v>44</v>
      </c>
      <c r="D420" t="s">
        <v>762</v>
      </c>
      <c r="E420">
        <v>649</v>
      </c>
      <c r="F420">
        <v>249</v>
      </c>
      <c r="G420">
        <v>62</v>
      </c>
      <c r="H420">
        <v>400</v>
      </c>
      <c r="I420" t="s">
        <v>17</v>
      </c>
      <c r="J420">
        <v>4</v>
      </c>
      <c r="K420">
        <v>14404</v>
      </c>
      <c r="L420">
        <v>0.34274509803921571</v>
      </c>
      <c r="M420" t="s">
        <v>18</v>
      </c>
    </row>
    <row r="421" spans="1:13" x14ac:dyDescent="0.3">
      <c r="A421" t="s">
        <v>886</v>
      </c>
      <c r="B421" t="s">
        <v>887</v>
      </c>
      <c r="C421" t="s">
        <v>44</v>
      </c>
      <c r="D421" t="s">
        <v>762</v>
      </c>
      <c r="E421">
        <v>171</v>
      </c>
      <c r="F421">
        <v>99</v>
      </c>
      <c r="G421">
        <v>42</v>
      </c>
      <c r="H421">
        <v>72</v>
      </c>
      <c r="I421" t="s">
        <v>17</v>
      </c>
      <c r="J421">
        <v>4.5</v>
      </c>
      <c r="K421">
        <v>11339</v>
      </c>
      <c r="L421">
        <v>0.4385</v>
      </c>
      <c r="M421" t="s">
        <v>18</v>
      </c>
    </row>
    <row r="422" spans="1:13" x14ac:dyDescent="0.3">
      <c r="A422" t="s">
        <v>888</v>
      </c>
      <c r="B422" t="s">
        <v>889</v>
      </c>
      <c r="C422" t="s">
        <v>44</v>
      </c>
      <c r="D422" t="s">
        <v>759</v>
      </c>
      <c r="E422">
        <v>1999</v>
      </c>
      <c r="F422">
        <v>489</v>
      </c>
      <c r="G422">
        <v>76</v>
      </c>
      <c r="H422">
        <v>1510</v>
      </c>
      <c r="I422" t="s">
        <v>17</v>
      </c>
      <c r="J422">
        <v>4</v>
      </c>
      <c r="K422">
        <v>3626</v>
      </c>
      <c r="L422">
        <v>0.267989417989418</v>
      </c>
      <c r="M422" t="s">
        <v>18</v>
      </c>
    </row>
    <row r="423" spans="1:13" x14ac:dyDescent="0.3">
      <c r="A423" t="s">
        <v>890</v>
      </c>
      <c r="B423" t="s">
        <v>891</v>
      </c>
      <c r="C423" t="s">
        <v>44</v>
      </c>
      <c r="D423" t="s">
        <v>727</v>
      </c>
      <c r="E423">
        <v>1600</v>
      </c>
      <c r="F423">
        <v>369</v>
      </c>
      <c r="G423">
        <v>77</v>
      </c>
      <c r="H423">
        <v>1231</v>
      </c>
      <c r="I423" t="s">
        <v>17</v>
      </c>
      <c r="J423">
        <v>4</v>
      </c>
      <c r="K423">
        <v>32625</v>
      </c>
      <c r="L423">
        <v>0.28333333333333333</v>
      </c>
      <c r="M423" t="s">
        <v>18</v>
      </c>
    </row>
    <row r="424" spans="1:13" x14ac:dyDescent="0.3">
      <c r="A424" t="s">
        <v>892</v>
      </c>
      <c r="B424" t="s">
        <v>893</v>
      </c>
      <c r="C424" t="s">
        <v>44</v>
      </c>
      <c r="D424" t="s">
        <v>716</v>
      </c>
      <c r="E424">
        <v>20999</v>
      </c>
      <c r="F424">
        <v>15499</v>
      </c>
      <c r="G424">
        <v>26</v>
      </c>
      <c r="H424">
        <v>5500</v>
      </c>
      <c r="I424" t="s">
        <v>55</v>
      </c>
      <c r="J424">
        <v>4.0999999999999996</v>
      </c>
      <c r="K424">
        <v>19252</v>
      </c>
      <c r="L424">
        <v>0.31842885375494079</v>
      </c>
      <c r="M424" t="s">
        <v>18</v>
      </c>
    </row>
    <row r="425" spans="1:13" x14ac:dyDescent="0.3">
      <c r="A425" t="s">
        <v>894</v>
      </c>
      <c r="B425" t="s">
        <v>895</v>
      </c>
      <c r="C425" t="s">
        <v>44</v>
      </c>
      <c r="D425" t="s">
        <v>716</v>
      </c>
      <c r="E425">
        <v>18999</v>
      </c>
      <c r="F425">
        <v>15499</v>
      </c>
      <c r="G425">
        <v>18</v>
      </c>
      <c r="H425">
        <v>3500</v>
      </c>
      <c r="I425" t="s">
        <v>55</v>
      </c>
      <c r="J425">
        <v>4.0999999999999996</v>
      </c>
      <c r="K425">
        <v>19252</v>
      </c>
      <c r="L425">
        <v>0.31842885375494079</v>
      </c>
      <c r="M425" t="s">
        <v>18</v>
      </c>
    </row>
    <row r="426" spans="1:13" x14ac:dyDescent="0.3">
      <c r="A426" t="s">
        <v>896</v>
      </c>
      <c r="B426" t="s">
        <v>897</v>
      </c>
      <c r="C426" t="s">
        <v>44</v>
      </c>
      <c r="D426" t="s">
        <v>716</v>
      </c>
      <c r="E426">
        <v>28999</v>
      </c>
      <c r="F426">
        <v>22999</v>
      </c>
      <c r="G426">
        <v>21</v>
      </c>
      <c r="H426">
        <v>6000</v>
      </c>
      <c r="I426" t="s">
        <v>102</v>
      </c>
      <c r="J426">
        <v>3.9</v>
      </c>
      <c r="K426">
        <v>25824</v>
      </c>
      <c r="L426">
        <v>0.22781084656084649</v>
      </c>
      <c r="M426" t="s">
        <v>18</v>
      </c>
    </row>
    <row r="427" spans="1:13" x14ac:dyDescent="0.3">
      <c r="A427" t="s">
        <v>898</v>
      </c>
      <c r="B427" t="s">
        <v>899</v>
      </c>
      <c r="C427" t="s">
        <v>44</v>
      </c>
      <c r="D427" t="s">
        <v>737</v>
      </c>
      <c r="E427">
        <v>1490</v>
      </c>
      <c r="F427">
        <v>599</v>
      </c>
      <c r="G427">
        <v>60</v>
      </c>
      <c r="H427">
        <v>891</v>
      </c>
      <c r="I427" t="s">
        <v>64</v>
      </c>
      <c r="J427">
        <v>4.0999999999999996</v>
      </c>
      <c r="K427">
        <v>161679</v>
      </c>
      <c r="L427">
        <v>0.2565804597701149</v>
      </c>
      <c r="M427" t="s">
        <v>18</v>
      </c>
    </row>
    <row r="428" spans="1:13" x14ac:dyDescent="0.3">
      <c r="A428" t="s">
        <v>900</v>
      </c>
      <c r="B428" t="s">
        <v>901</v>
      </c>
      <c r="C428" t="s">
        <v>44</v>
      </c>
      <c r="D428" t="s">
        <v>841</v>
      </c>
      <c r="E428">
        <v>699</v>
      </c>
      <c r="F428">
        <v>134</v>
      </c>
      <c r="G428">
        <v>81</v>
      </c>
      <c r="H428">
        <v>565</v>
      </c>
      <c r="I428" t="s">
        <v>17</v>
      </c>
      <c r="J428">
        <v>4.0999999999999996</v>
      </c>
      <c r="K428">
        <v>16685</v>
      </c>
      <c r="L428">
        <v>0.1245833333333333</v>
      </c>
      <c r="M428" t="s">
        <v>18</v>
      </c>
    </row>
    <row r="429" spans="1:13" x14ac:dyDescent="0.3">
      <c r="A429" t="s">
        <v>902</v>
      </c>
      <c r="B429" t="s">
        <v>903</v>
      </c>
      <c r="C429" t="s">
        <v>44</v>
      </c>
      <c r="D429" t="s">
        <v>716</v>
      </c>
      <c r="E429">
        <v>7999</v>
      </c>
      <c r="F429">
        <v>7499</v>
      </c>
      <c r="G429">
        <v>6</v>
      </c>
      <c r="H429">
        <v>500</v>
      </c>
      <c r="I429" t="s">
        <v>55</v>
      </c>
      <c r="J429">
        <v>4</v>
      </c>
      <c r="K429">
        <v>30907</v>
      </c>
      <c r="L429">
        <v>0.41444444444444439</v>
      </c>
      <c r="M429" t="s">
        <v>18</v>
      </c>
    </row>
    <row r="430" spans="1:13" x14ac:dyDescent="0.3">
      <c r="A430" t="s">
        <v>904</v>
      </c>
      <c r="B430" t="s">
        <v>905</v>
      </c>
      <c r="C430" t="s">
        <v>44</v>
      </c>
      <c r="D430" t="s">
        <v>713</v>
      </c>
      <c r="E430">
        <v>2199</v>
      </c>
      <c r="F430">
        <v>1149</v>
      </c>
      <c r="G430">
        <v>48</v>
      </c>
      <c r="H430">
        <v>1050</v>
      </c>
      <c r="I430" t="s">
        <v>64</v>
      </c>
      <c r="J430">
        <v>4.3</v>
      </c>
      <c r="K430">
        <v>178912</v>
      </c>
      <c r="L430">
        <v>0.2382738095238095</v>
      </c>
      <c r="M430" t="s">
        <v>18</v>
      </c>
    </row>
    <row r="431" spans="1:13" x14ac:dyDescent="0.3">
      <c r="A431" t="s">
        <v>906</v>
      </c>
      <c r="B431" t="s">
        <v>907</v>
      </c>
      <c r="C431" t="s">
        <v>44</v>
      </c>
      <c r="D431" t="s">
        <v>732</v>
      </c>
      <c r="E431">
        <v>1699</v>
      </c>
      <c r="F431">
        <v>1324</v>
      </c>
      <c r="G431">
        <v>22</v>
      </c>
      <c r="H431">
        <v>375</v>
      </c>
      <c r="I431" t="s">
        <v>64</v>
      </c>
      <c r="J431">
        <v>4</v>
      </c>
      <c r="K431">
        <v>128311</v>
      </c>
      <c r="L431">
        <v>0.34707482993197281</v>
      </c>
      <c r="M431" t="s">
        <v>18</v>
      </c>
    </row>
    <row r="432" spans="1:13" x14ac:dyDescent="0.3">
      <c r="A432" t="s">
        <v>908</v>
      </c>
      <c r="B432" t="s">
        <v>909</v>
      </c>
      <c r="C432" t="s">
        <v>44</v>
      </c>
      <c r="D432" t="s">
        <v>716</v>
      </c>
      <c r="E432">
        <v>19999</v>
      </c>
      <c r="F432">
        <v>13999</v>
      </c>
      <c r="G432">
        <v>30</v>
      </c>
      <c r="H432">
        <v>6000</v>
      </c>
      <c r="I432" t="s">
        <v>55</v>
      </c>
      <c r="J432">
        <v>4.0999999999999996</v>
      </c>
      <c r="K432">
        <v>19252</v>
      </c>
      <c r="L432">
        <v>0.31842885375494079</v>
      </c>
      <c r="M432" t="s">
        <v>18</v>
      </c>
    </row>
    <row r="433" spans="1:13" x14ac:dyDescent="0.3">
      <c r="A433" t="s">
        <v>910</v>
      </c>
      <c r="B433" t="s">
        <v>911</v>
      </c>
      <c r="C433" t="s">
        <v>44</v>
      </c>
      <c r="D433" t="s">
        <v>713</v>
      </c>
      <c r="E433">
        <v>1599</v>
      </c>
      <c r="F433">
        <v>999</v>
      </c>
      <c r="G433">
        <v>38</v>
      </c>
      <c r="H433">
        <v>600</v>
      </c>
      <c r="I433" t="s">
        <v>64</v>
      </c>
      <c r="J433">
        <v>4</v>
      </c>
      <c r="K433">
        <v>7222</v>
      </c>
      <c r="L433">
        <v>0.45913165266106448</v>
      </c>
      <c r="M433" t="s">
        <v>18</v>
      </c>
    </row>
    <row r="434" spans="1:13" x14ac:dyDescent="0.3">
      <c r="A434" t="s">
        <v>912</v>
      </c>
      <c r="B434" t="s">
        <v>913</v>
      </c>
      <c r="C434" t="s">
        <v>44</v>
      </c>
      <c r="D434" t="s">
        <v>716</v>
      </c>
      <c r="E434">
        <v>17999</v>
      </c>
      <c r="F434">
        <v>12999</v>
      </c>
      <c r="G434">
        <v>28</v>
      </c>
      <c r="H434">
        <v>5000</v>
      </c>
      <c r="I434" t="s">
        <v>55</v>
      </c>
      <c r="J434">
        <v>4.0999999999999996</v>
      </c>
      <c r="K434">
        <v>18998</v>
      </c>
      <c r="L434">
        <v>0.213969494047619</v>
      </c>
      <c r="M434" t="s">
        <v>18</v>
      </c>
    </row>
    <row r="435" spans="1:13" x14ac:dyDescent="0.3">
      <c r="A435" t="s">
        <v>914</v>
      </c>
      <c r="B435" t="s">
        <v>915</v>
      </c>
      <c r="C435" t="s">
        <v>44</v>
      </c>
      <c r="D435" t="s">
        <v>716</v>
      </c>
      <c r="E435">
        <v>20990</v>
      </c>
      <c r="F435">
        <v>15490</v>
      </c>
      <c r="G435">
        <v>26</v>
      </c>
      <c r="H435">
        <v>5500</v>
      </c>
      <c r="I435" t="s">
        <v>55</v>
      </c>
      <c r="J435">
        <v>4.2</v>
      </c>
      <c r="K435">
        <v>32916</v>
      </c>
      <c r="L435">
        <v>0.38500000000000001</v>
      </c>
      <c r="M435" t="s">
        <v>18</v>
      </c>
    </row>
    <row r="436" spans="1:13" x14ac:dyDescent="0.3">
      <c r="A436" t="s">
        <v>916</v>
      </c>
      <c r="B436" t="s">
        <v>917</v>
      </c>
      <c r="C436" t="s">
        <v>44</v>
      </c>
      <c r="D436" t="s">
        <v>918</v>
      </c>
      <c r="E436">
        <v>2899</v>
      </c>
      <c r="F436">
        <v>999</v>
      </c>
      <c r="G436">
        <v>66</v>
      </c>
      <c r="H436">
        <v>1900</v>
      </c>
      <c r="I436" t="s">
        <v>64</v>
      </c>
      <c r="J436">
        <v>4.5999999999999996</v>
      </c>
      <c r="K436">
        <v>26603</v>
      </c>
      <c r="L436">
        <v>0.39507507507507511</v>
      </c>
      <c r="M436" t="s">
        <v>18</v>
      </c>
    </row>
    <row r="437" spans="1:13" x14ac:dyDescent="0.3">
      <c r="A437" t="s">
        <v>919</v>
      </c>
      <c r="B437" t="s">
        <v>920</v>
      </c>
      <c r="C437" t="s">
        <v>44</v>
      </c>
      <c r="D437" t="s">
        <v>706</v>
      </c>
      <c r="E437">
        <v>4999</v>
      </c>
      <c r="F437">
        <v>1599</v>
      </c>
      <c r="G437">
        <v>68</v>
      </c>
      <c r="H437">
        <v>3400</v>
      </c>
      <c r="I437" t="s">
        <v>167</v>
      </c>
      <c r="J437">
        <v>4</v>
      </c>
      <c r="K437">
        <v>67950</v>
      </c>
      <c r="L437">
        <v>0.1704887218045113</v>
      </c>
      <c r="M437" t="s">
        <v>18</v>
      </c>
    </row>
    <row r="438" spans="1:13" x14ac:dyDescent="0.3">
      <c r="A438" t="s">
        <v>921</v>
      </c>
      <c r="B438" t="s">
        <v>922</v>
      </c>
      <c r="C438" t="s">
        <v>44</v>
      </c>
      <c r="D438" t="s">
        <v>732</v>
      </c>
      <c r="E438">
        <v>1699</v>
      </c>
      <c r="F438">
        <v>1324</v>
      </c>
      <c r="G438">
        <v>22</v>
      </c>
      <c r="H438">
        <v>375</v>
      </c>
      <c r="I438" t="s">
        <v>64</v>
      </c>
      <c r="J438">
        <v>4</v>
      </c>
      <c r="K438">
        <v>128311</v>
      </c>
      <c r="L438">
        <v>0.34707482993197281</v>
      </c>
      <c r="M438" t="s">
        <v>18</v>
      </c>
    </row>
    <row r="439" spans="1:13" x14ac:dyDescent="0.3">
      <c r="A439" t="s">
        <v>923</v>
      </c>
      <c r="B439" t="s">
        <v>924</v>
      </c>
      <c r="C439" t="s">
        <v>44</v>
      </c>
      <c r="D439" t="s">
        <v>716</v>
      </c>
      <c r="E439">
        <v>29990</v>
      </c>
      <c r="F439">
        <v>20999</v>
      </c>
      <c r="G439">
        <v>30</v>
      </c>
      <c r="H439">
        <v>8991</v>
      </c>
      <c r="I439" t="s">
        <v>102</v>
      </c>
      <c r="J439">
        <v>4.3</v>
      </c>
      <c r="K439">
        <v>9499</v>
      </c>
      <c r="L439">
        <v>0.25429421768707489</v>
      </c>
      <c r="M439" t="s">
        <v>18</v>
      </c>
    </row>
    <row r="440" spans="1:13" x14ac:dyDescent="0.3">
      <c r="A440" t="s">
        <v>925</v>
      </c>
      <c r="B440" t="s">
        <v>926</v>
      </c>
      <c r="C440" t="s">
        <v>44</v>
      </c>
      <c r="D440" t="s">
        <v>762</v>
      </c>
      <c r="E440">
        <v>1999</v>
      </c>
      <c r="F440">
        <v>999</v>
      </c>
      <c r="G440">
        <v>50</v>
      </c>
      <c r="H440">
        <v>1000</v>
      </c>
      <c r="I440" t="s">
        <v>64</v>
      </c>
      <c r="J440">
        <v>4.3</v>
      </c>
      <c r="K440">
        <v>1777</v>
      </c>
      <c r="L440">
        <v>0.25538461538461538</v>
      </c>
      <c r="M440" t="s">
        <v>18</v>
      </c>
    </row>
    <row r="441" spans="1:13" x14ac:dyDescent="0.3">
      <c r="A441" t="s">
        <v>927</v>
      </c>
      <c r="B441" t="s">
        <v>928</v>
      </c>
      <c r="C441" t="s">
        <v>44</v>
      </c>
      <c r="D441" t="s">
        <v>716</v>
      </c>
      <c r="E441">
        <v>15990</v>
      </c>
      <c r="F441">
        <v>12490</v>
      </c>
      <c r="G441">
        <v>22</v>
      </c>
      <c r="H441">
        <v>3500</v>
      </c>
      <c r="I441" t="s">
        <v>55</v>
      </c>
      <c r="J441">
        <v>4.2</v>
      </c>
      <c r="K441">
        <v>58506</v>
      </c>
      <c r="L441">
        <v>0.282608695652174</v>
      </c>
      <c r="M441" t="s">
        <v>18</v>
      </c>
    </row>
    <row r="442" spans="1:13" x14ac:dyDescent="0.3">
      <c r="A442" t="s">
        <v>929</v>
      </c>
      <c r="B442" t="s">
        <v>930</v>
      </c>
      <c r="C442" t="s">
        <v>44</v>
      </c>
      <c r="D442" t="s">
        <v>716</v>
      </c>
      <c r="E442">
        <v>21990</v>
      </c>
      <c r="F442">
        <v>17999</v>
      </c>
      <c r="G442">
        <v>18</v>
      </c>
      <c r="H442">
        <v>3991</v>
      </c>
      <c r="I442" t="s">
        <v>55</v>
      </c>
      <c r="J442">
        <v>4</v>
      </c>
      <c r="K442">
        <v>21350</v>
      </c>
      <c r="L442">
        <v>0.12954545454545449</v>
      </c>
      <c r="M442" t="s">
        <v>18</v>
      </c>
    </row>
    <row r="443" spans="1:13" x14ac:dyDescent="0.3">
      <c r="A443" t="s">
        <v>931</v>
      </c>
      <c r="B443" t="s">
        <v>932</v>
      </c>
      <c r="C443" t="s">
        <v>44</v>
      </c>
      <c r="D443" t="s">
        <v>732</v>
      </c>
      <c r="E443">
        <v>1630</v>
      </c>
      <c r="F443">
        <v>1399</v>
      </c>
      <c r="G443">
        <v>14</v>
      </c>
      <c r="H443">
        <v>231</v>
      </c>
      <c r="I443" t="s">
        <v>64</v>
      </c>
      <c r="J443">
        <v>4</v>
      </c>
      <c r="K443">
        <v>9378</v>
      </c>
      <c r="L443">
        <v>0.57523809523809522</v>
      </c>
      <c r="M443" t="s">
        <v>18</v>
      </c>
    </row>
    <row r="444" spans="1:13" x14ac:dyDescent="0.3">
      <c r="A444" t="s">
        <v>933</v>
      </c>
      <c r="B444" t="s">
        <v>934</v>
      </c>
      <c r="C444" t="s">
        <v>44</v>
      </c>
      <c r="D444" t="s">
        <v>706</v>
      </c>
      <c r="E444">
        <v>6990</v>
      </c>
      <c r="F444">
        <v>1499</v>
      </c>
      <c r="G444">
        <v>79</v>
      </c>
      <c r="H444">
        <v>5491</v>
      </c>
      <c r="I444" t="s">
        <v>64</v>
      </c>
      <c r="J444">
        <v>3.9</v>
      </c>
      <c r="K444">
        <v>21796</v>
      </c>
      <c r="L444">
        <v>0.34155844155844151</v>
      </c>
      <c r="M444" t="s">
        <v>18</v>
      </c>
    </row>
    <row r="445" spans="1:13" x14ac:dyDescent="0.3">
      <c r="A445" t="s">
        <v>935</v>
      </c>
      <c r="B445" t="s">
        <v>936</v>
      </c>
      <c r="C445" t="s">
        <v>44</v>
      </c>
      <c r="D445" t="s">
        <v>706</v>
      </c>
      <c r="E445">
        <v>7990</v>
      </c>
      <c r="F445">
        <v>1999</v>
      </c>
      <c r="G445">
        <v>75</v>
      </c>
      <c r="H445">
        <v>5991</v>
      </c>
      <c r="I445" t="s">
        <v>167</v>
      </c>
      <c r="J445">
        <v>3.8</v>
      </c>
      <c r="K445">
        <v>17833</v>
      </c>
      <c r="L445">
        <v>0.3158374384236452</v>
      </c>
      <c r="M445" t="s">
        <v>18</v>
      </c>
    </row>
    <row r="446" spans="1:13" x14ac:dyDescent="0.3">
      <c r="A446" t="s">
        <v>937</v>
      </c>
      <c r="B446" t="s">
        <v>938</v>
      </c>
      <c r="C446" t="s">
        <v>44</v>
      </c>
      <c r="D446" t="s">
        <v>918</v>
      </c>
      <c r="E446">
        <v>2899</v>
      </c>
      <c r="F446">
        <v>999</v>
      </c>
      <c r="G446">
        <v>66</v>
      </c>
      <c r="H446">
        <v>1900</v>
      </c>
      <c r="I446" t="s">
        <v>64</v>
      </c>
      <c r="J446">
        <v>4.7</v>
      </c>
      <c r="K446">
        <v>7779</v>
      </c>
      <c r="L446">
        <v>0.27525641025641029</v>
      </c>
      <c r="M446" t="s">
        <v>18</v>
      </c>
    </row>
    <row r="447" spans="1:13" x14ac:dyDescent="0.3">
      <c r="A447" t="s">
        <v>939</v>
      </c>
      <c r="B447" t="s">
        <v>940</v>
      </c>
      <c r="C447" t="s">
        <v>44</v>
      </c>
      <c r="D447" t="s">
        <v>941</v>
      </c>
      <c r="E447">
        <v>5999</v>
      </c>
      <c r="F447">
        <v>2099</v>
      </c>
      <c r="G447">
        <v>65</v>
      </c>
      <c r="H447">
        <v>3900</v>
      </c>
      <c r="I447" t="s">
        <v>167</v>
      </c>
      <c r="J447">
        <v>4.3</v>
      </c>
      <c r="K447">
        <v>17129</v>
      </c>
      <c r="L447">
        <v>0.34909281894576011</v>
      </c>
      <c r="M447" t="s">
        <v>18</v>
      </c>
    </row>
    <row r="448" spans="1:13" x14ac:dyDescent="0.3">
      <c r="A448" t="s">
        <v>942</v>
      </c>
      <c r="B448" t="s">
        <v>943</v>
      </c>
      <c r="C448" t="s">
        <v>44</v>
      </c>
      <c r="D448" t="s">
        <v>746</v>
      </c>
      <c r="E448">
        <v>699</v>
      </c>
      <c r="F448">
        <v>337</v>
      </c>
      <c r="G448">
        <v>52</v>
      </c>
      <c r="H448">
        <v>362</v>
      </c>
      <c r="I448" t="s">
        <v>17</v>
      </c>
      <c r="J448">
        <v>4.2</v>
      </c>
      <c r="K448">
        <v>4969</v>
      </c>
      <c r="L448">
        <v>0.186740890688259</v>
      </c>
      <c r="M448" t="s">
        <v>18</v>
      </c>
    </row>
    <row r="449" spans="1:13" x14ac:dyDescent="0.3">
      <c r="A449" t="s">
        <v>944</v>
      </c>
      <c r="B449" t="s">
        <v>945</v>
      </c>
      <c r="C449" t="s">
        <v>44</v>
      </c>
      <c r="D449" t="s">
        <v>706</v>
      </c>
      <c r="E449">
        <v>7990</v>
      </c>
      <c r="F449">
        <v>2999</v>
      </c>
      <c r="G449">
        <v>62</v>
      </c>
      <c r="H449">
        <v>4991</v>
      </c>
      <c r="I449" t="s">
        <v>167</v>
      </c>
      <c r="J449">
        <v>4.0999999999999996</v>
      </c>
      <c r="K449">
        <v>154</v>
      </c>
      <c r="L449">
        <v>0.351439393939394</v>
      </c>
      <c r="M449" t="s">
        <v>18</v>
      </c>
    </row>
    <row r="450" spans="1:13" x14ac:dyDescent="0.3">
      <c r="A450" t="s">
        <v>946</v>
      </c>
      <c r="B450" t="s">
        <v>947</v>
      </c>
      <c r="C450" t="s">
        <v>44</v>
      </c>
      <c r="D450" t="s">
        <v>706</v>
      </c>
      <c r="E450">
        <v>5999</v>
      </c>
      <c r="F450">
        <v>1299</v>
      </c>
      <c r="G450">
        <v>78</v>
      </c>
      <c r="H450">
        <v>4700</v>
      </c>
      <c r="I450" t="s">
        <v>64</v>
      </c>
      <c r="J450">
        <v>3.3</v>
      </c>
      <c r="K450">
        <v>4415</v>
      </c>
      <c r="L450">
        <v>0.13469387755102041</v>
      </c>
      <c r="M450" t="s">
        <v>18</v>
      </c>
    </row>
    <row r="451" spans="1:13" x14ac:dyDescent="0.3">
      <c r="A451" t="s">
        <v>948</v>
      </c>
      <c r="B451" t="s">
        <v>949</v>
      </c>
      <c r="C451" t="s">
        <v>44</v>
      </c>
      <c r="D451" t="s">
        <v>716</v>
      </c>
      <c r="E451">
        <v>20990</v>
      </c>
      <c r="F451">
        <v>16499</v>
      </c>
      <c r="G451">
        <v>21</v>
      </c>
      <c r="H451">
        <v>4491</v>
      </c>
      <c r="I451" t="s">
        <v>55</v>
      </c>
      <c r="J451">
        <v>4</v>
      </c>
      <c r="K451">
        <v>21350</v>
      </c>
      <c r="L451">
        <v>0.12954545454545449</v>
      </c>
      <c r="M451" t="s">
        <v>18</v>
      </c>
    </row>
    <row r="452" spans="1:13" x14ac:dyDescent="0.3">
      <c r="A452" t="s">
        <v>950</v>
      </c>
      <c r="B452" t="s">
        <v>951</v>
      </c>
      <c r="C452" t="s">
        <v>44</v>
      </c>
      <c r="D452" t="s">
        <v>737</v>
      </c>
      <c r="E452">
        <v>499</v>
      </c>
      <c r="F452">
        <v>499</v>
      </c>
      <c r="G452">
        <v>0</v>
      </c>
      <c r="H452">
        <v>0</v>
      </c>
      <c r="I452" t="s">
        <v>17</v>
      </c>
      <c r="J452">
        <v>4.2</v>
      </c>
      <c r="K452">
        <v>31539</v>
      </c>
      <c r="L452">
        <v>0.4905882352941176</v>
      </c>
      <c r="M452" t="s">
        <v>18</v>
      </c>
    </row>
    <row r="453" spans="1:13" x14ac:dyDescent="0.3">
      <c r="A453" t="s">
        <v>952</v>
      </c>
      <c r="B453" t="s">
        <v>953</v>
      </c>
      <c r="C453" t="s">
        <v>44</v>
      </c>
      <c r="D453" t="s">
        <v>918</v>
      </c>
      <c r="E453">
        <v>2899</v>
      </c>
      <c r="F453">
        <v>999</v>
      </c>
      <c r="G453">
        <v>66</v>
      </c>
      <c r="H453">
        <v>1900</v>
      </c>
      <c r="I453" t="s">
        <v>64</v>
      </c>
      <c r="J453">
        <v>4.5999999999999996</v>
      </c>
      <c r="K453">
        <v>6129</v>
      </c>
      <c r="L453">
        <v>0.33652711323763962</v>
      </c>
      <c r="M453" t="s">
        <v>18</v>
      </c>
    </row>
    <row r="454" spans="1:13" x14ac:dyDescent="0.3">
      <c r="A454" t="s">
        <v>954</v>
      </c>
      <c r="B454" t="s">
        <v>955</v>
      </c>
      <c r="C454" t="s">
        <v>44</v>
      </c>
      <c r="D454" t="s">
        <v>716</v>
      </c>
      <c r="E454">
        <v>13499</v>
      </c>
      <c r="F454">
        <v>10499</v>
      </c>
      <c r="G454">
        <v>22</v>
      </c>
      <c r="H454">
        <v>3000</v>
      </c>
      <c r="I454" t="s">
        <v>55</v>
      </c>
      <c r="J454">
        <v>4.2</v>
      </c>
      <c r="K454">
        <v>284</v>
      </c>
      <c r="L454">
        <v>0.18066916823014381</v>
      </c>
      <c r="M454" t="s">
        <v>18</v>
      </c>
    </row>
    <row r="455" spans="1:13" x14ac:dyDescent="0.3">
      <c r="A455" t="s">
        <v>956</v>
      </c>
      <c r="B455" t="s">
        <v>957</v>
      </c>
      <c r="C455" t="s">
        <v>44</v>
      </c>
      <c r="D455" t="s">
        <v>958</v>
      </c>
      <c r="E455">
        <v>999</v>
      </c>
      <c r="F455">
        <v>251</v>
      </c>
      <c r="G455">
        <v>75</v>
      </c>
      <c r="H455">
        <v>748</v>
      </c>
      <c r="I455" t="s">
        <v>17</v>
      </c>
      <c r="J455">
        <v>3.7</v>
      </c>
      <c r="K455">
        <v>3234</v>
      </c>
      <c r="L455">
        <v>0.13174679487179489</v>
      </c>
      <c r="M455" t="s">
        <v>18</v>
      </c>
    </row>
    <row r="456" spans="1:13" x14ac:dyDescent="0.3">
      <c r="A456" t="s">
        <v>959</v>
      </c>
      <c r="B456" t="s">
        <v>960</v>
      </c>
      <c r="C456" t="s">
        <v>44</v>
      </c>
      <c r="D456" t="s">
        <v>716</v>
      </c>
      <c r="E456">
        <v>7999</v>
      </c>
      <c r="F456">
        <v>6499</v>
      </c>
      <c r="G456">
        <v>19</v>
      </c>
      <c r="H456">
        <v>1500</v>
      </c>
      <c r="I456" t="s">
        <v>55</v>
      </c>
      <c r="J456">
        <v>4.0999999999999996</v>
      </c>
      <c r="K456">
        <v>313832</v>
      </c>
      <c r="L456">
        <v>0.21032967032967029</v>
      </c>
      <c r="M456" t="s">
        <v>18</v>
      </c>
    </row>
    <row r="457" spans="1:13" x14ac:dyDescent="0.3">
      <c r="A457" t="s">
        <v>961</v>
      </c>
      <c r="B457" t="s">
        <v>962</v>
      </c>
      <c r="C457" t="s">
        <v>44</v>
      </c>
      <c r="D457" t="s">
        <v>706</v>
      </c>
      <c r="E457">
        <v>9999</v>
      </c>
      <c r="F457">
        <v>2999</v>
      </c>
      <c r="G457">
        <v>70</v>
      </c>
      <c r="H457">
        <v>7000</v>
      </c>
      <c r="I457" t="s">
        <v>167</v>
      </c>
      <c r="J457">
        <v>4.2</v>
      </c>
      <c r="K457">
        <v>20879</v>
      </c>
      <c r="L457">
        <v>0.29322047000618429</v>
      </c>
      <c r="M457" t="s">
        <v>18</v>
      </c>
    </row>
    <row r="458" spans="1:13" x14ac:dyDescent="0.3">
      <c r="A458" t="s">
        <v>963</v>
      </c>
      <c r="B458" t="s">
        <v>964</v>
      </c>
      <c r="C458" t="s">
        <v>44</v>
      </c>
      <c r="D458" t="s">
        <v>965</v>
      </c>
      <c r="E458">
        <v>1499</v>
      </c>
      <c r="F458">
        <v>279</v>
      </c>
      <c r="G458">
        <v>81</v>
      </c>
      <c r="H458">
        <v>1220</v>
      </c>
      <c r="I458" t="s">
        <v>17</v>
      </c>
      <c r="J458">
        <v>4.2</v>
      </c>
      <c r="K458">
        <v>2646</v>
      </c>
      <c r="L458">
        <v>0.30557197591680352</v>
      </c>
      <c r="M458" t="s">
        <v>18</v>
      </c>
    </row>
    <row r="459" spans="1:13" x14ac:dyDescent="0.3">
      <c r="A459" t="s">
        <v>966</v>
      </c>
      <c r="B459" t="s">
        <v>967</v>
      </c>
      <c r="C459" t="s">
        <v>44</v>
      </c>
      <c r="D459" t="s">
        <v>841</v>
      </c>
      <c r="E459">
        <v>1499</v>
      </c>
      <c r="F459">
        <v>269</v>
      </c>
      <c r="G459">
        <v>82</v>
      </c>
      <c r="H459">
        <v>1230</v>
      </c>
      <c r="I459" t="s">
        <v>17</v>
      </c>
      <c r="J459">
        <v>4.5</v>
      </c>
      <c r="K459">
        <v>28978</v>
      </c>
      <c r="L459">
        <v>0.37321428571428578</v>
      </c>
      <c r="M459" t="s">
        <v>18</v>
      </c>
    </row>
    <row r="460" spans="1:13" x14ac:dyDescent="0.3">
      <c r="A460" t="s">
        <v>968</v>
      </c>
      <c r="B460" t="s">
        <v>969</v>
      </c>
      <c r="C460" t="s">
        <v>44</v>
      </c>
      <c r="D460" t="s">
        <v>716</v>
      </c>
      <c r="E460">
        <v>13499</v>
      </c>
      <c r="F460">
        <v>8999</v>
      </c>
      <c r="G460">
        <v>33</v>
      </c>
      <c r="H460">
        <v>4500</v>
      </c>
      <c r="I460" t="s">
        <v>55</v>
      </c>
      <c r="J460">
        <v>3.8</v>
      </c>
      <c r="K460">
        <v>3145</v>
      </c>
      <c r="L460">
        <v>0.2599999999999999</v>
      </c>
      <c r="M460" t="s">
        <v>18</v>
      </c>
    </row>
    <row r="461" spans="1:13" x14ac:dyDescent="0.3">
      <c r="A461" t="s">
        <v>970</v>
      </c>
      <c r="B461" t="s">
        <v>971</v>
      </c>
      <c r="C461" t="s">
        <v>44</v>
      </c>
      <c r="D461" t="s">
        <v>737</v>
      </c>
      <c r="E461">
        <v>1299</v>
      </c>
      <c r="F461">
        <v>599</v>
      </c>
      <c r="G461">
        <v>54</v>
      </c>
      <c r="H461">
        <v>700</v>
      </c>
      <c r="I461" t="s">
        <v>64</v>
      </c>
      <c r="J461">
        <v>4.0999999999999996</v>
      </c>
      <c r="K461">
        <v>192589</v>
      </c>
      <c r="L461">
        <v>0.21087301587301591</v>
      </c>
      <c r="M461" t="s">
        <v>18</v>
      </c>
    </row>
    <row r="462" spans="1:13" x14ac:dyDescent="0.3">
      <c r="A462" t="s">
        <v>972</v>
      </c>
      <c r="B462" t="s">
        <v>973</v>
      </c>
      <c r="C462" t="s">
        <v>44</v>
      </c>
      <c r="D462" t="s">
        <v>941</v>
      </c>
      <c r="E462">
        <v>999</v>
      </c>
      <c r="F462">
        <v>349</v>
      </c>
      <c r="G462">
        <v>65</v>
      </c>
      <c r="H462">
        <v>650</v>
      </c>
      <c r="I462" t="s">
        <v>17</v>
      </c>
      <c r="J462">
        <v>3.8</v>
      </c>
      <c r="K462">
        <v>16557</v>
      </c>
      <c r="L462">
        <v>0.34092592592592591</v>
      </c>
      <c r="M462" t="s">
        <v>18</v>
      </c>
    </row>
    <row r="463" spans="1:13" x14ac:dyDescent="0.3">
      <c r="A463" t="s">
        <v>974</v>
      </c>
      <c r="B463" t="s">
        <v>832</v>
      </c>
      <c r="C463" t="s">
        <v>44</v>
      </c>
      <c r="D463" t="s">
        <v>716</v>
      </c>
      <c r="E463">
        <v>19499</v>
      </c>
      <c r="F463">
        <v>13999</v>
      </c>
      <c r="G463">
        <v>28</v>
      </c>
      <c r="H463">
        <v>5500</v>
      </c>
      <c r="I463" t="s">
        <v>55</v>
      </c>
      <c r="J463">
        <v>4.0999999999999996</v>
      </c>
      <c r="K463">
        <v>18998</v>
      </c>
      <c r="L463">
        <v>0.213969494047619</v>
      </c>
      <c r="M463" t="s">
        <v>18</v>
      </c>
    </row>
    <row r="464" spans="1:13" x14ac:dyDescent="0.3">
      <c r="A464" t="s">
        <v>975</v>
      </c>
      <c r="B464" t="s">
        <v>976</v>
      </c>
      <c r="C464" t="s">
        <v>44</v>
      </c>
      <c r="D464" t="s">
        <v>941</v>
      </c>
      <c r="E464">
        <v>999</v>
      </c>
      <c r="F464">
        <v>349</v>
      </c>
      <c r="G464">
        <v>65</v>
      </c>
      <c r="H464">
        <v>650</v>
      </c>
      <c r="I464" t="s">
        <v>17</v>
      </c>
      <c r="J464">
        <v>3.8</v>
      </c>
      <c r="K464">
        <v>16557</v>
      </c>
      <c r="L464">
        <v>0.34092592592592591</v>
      </c>
      <c r="M464" t="s">
        <v>18</v>
      </c>
    </row>
    <row r="465" spans="1:13" x14ac:dyDescent="0.3">
      <c r="A465" t="s">
        <v>977</v>
      </c>
      <c r="B465" t="s">
        <v>978</v>
      </c>
      <c r="C465" t="s">
        <v>44</v>
      </c>
      <c r="D465" t="s">
        <v>762</v>
      </c>
      <c r="E465">
        <v>599</v>
      </c>
      <c r="F465">
        <v>499</v>
      </c>
      <c r="G465">
        <v>17</v>
      </c>
      <c r="H465">
        <v>100</v>
      </c>
      <c r="I465" t="s">
        <v>17</v>
      </c>
      <c r="J465">
        <v>4.2</v>
      </c>
      <c r="K465">
        <v>21916</v>
      </c>
      <c r="L465">
        <v>0.3214285714285714</v>
      </c>
      <c r="M465" t="s">
        <v>18</v>
      </c>
    </row>
    <row r="466" spans="1:13" x14ac:dyDescent="0.3">
      <c r="A466" t="s">
        <v>979</v>
      </c>
      <c r="B466" t="s">
        <v>775</v>
      </c>
      <c r="C466" t="s">
        <v>44</v>
      </c>
      <c r="D466" t="s">
        <v>706</v>
      </c>
      <c r="E466">
        <v>9999</v>
      </c>
      <c r="F466">
        <v>2199</v>
      </c>
      <c r="G466">
        <v>78</v>
      </c>
      <c r="H466">
        <v>7800</v>
      </c>
      <c r="I466" t="s">
        <v>167</v>
      </c>
      <c r="J466">
        <v>4.2</v>
      </c>
      <c r="K466">
        <v>29472</v>
      </c>
      <c r="L466">
        <v>0.24705689847077039</v>
      </c>
      <c r="M466" t="s">
        <v>18</v>
      </c>
    </row>
    <row r="467" spans="1:13" x14ac:dyDescent="0.3">
      <c r="A467" t="s">
        <v>980</v>
      </c>
      <c r="B467" t="s">
        <v>981</v>
      </c>
      <c r="C467" t="s">
        <v>44</v>
      </c>
      <c r="D467" t="s">
        <v>879</v>
      </c>
      <c r="E467">
        <v>499</v>
      </c>
      <c r="F467">
        <v>95</v>
      </c>
      <c r="G467">
        <v>81</v>
      </c>
      <c r="H467">
        <v>404</v>
      </c>
      <c r="I467" t="s">
        <v>17</v>
      </c>
      <c r="J467">
        <v>4.2</v>
      </c>
      <c r="K467">
        <v>1949</v>
      </c>
      <c r="L467">
        <v>0.155922619047619</v>
      </c>
      <c r="M467" t="s">
        <v>18</v>
      </c>
    </row>
    <row r="468" spans="1:13" x14ac:dyDescent="0.3">
      <c r="A468" t="s">
        <v>982</v>
      </c>
      <c r="B468" t="s">
        <v>983</v>
      </c>
      <c r="C468" t="s">
        <v>15</v>
      </c>
      <c r="D468" t="s">
        <v>16</v>
      </c>
      <c r="E468">
        <v>249</v>
      </c>
      <c r="F468">
        <v>139</v>
      </c>
      <c r="G468">
        <v>44</v>
      </c>
      <c r="H468">
        <v>110</v>
      </c>
      <c r="I468" t="s">
        <v>17</v>
      </c>
      <c r="J468">
        <v>4</v>
      </c>
      <c r="K468">
        <v>9377</v>
      </c>
      <c r="L468">
        <v>0.47333333333333327</v>
      </c>
      <c r="M468" t="s">
        <v>18</v>
      </c>
    </row>
    <row r="469" spans="1:13" x14ac:dyDescent="0.3">
      <c r="A469" t="s">
        <v>984</v>
      </c>
      <c r="B469" t="s">
        <v>985</v>
      </c>
      <c r="C469" t="s">
        <v>44</v>
      </c>
      <c r="D469" t="s">
        <v>706</v>
      </c>
      <c r="E469">
        <v>7999</v>
      </c>
      <c r="F469">
        <v>4499</v>
      </c>
      <c r="G469">
        <v>44</v>
      </c>
      <c r="H469">
        <v>3500</v>
      </c>
      <c r="I469" t="s">
        <v>167</v>
      </c>
      <c r="J469">
        <v>3.5</v>
      </c>
      <c r="K469">
        <v>37</v>
      </c>
      <c r="L469">
        <v>8.1730769230769204E-2</v>
      </c>
      <c r="M469" t="s">
        <v>103</v>
      </c>
    </row>
    <row r="470" spans="1:13" x14ac:dyDescent="0.3">
      <c r="A470" t="s">
        <v>986</v>
      </c>
      <c r="B470" t="s">
        <v>987</v>
      </c>
      <c r="C470" t="s">
        <v>44</v>
      </c>
      <c r="D470" t="s">
        <v>841</v>
      </c>
      <c r="E470">
        <v>599</v>
      </c>
      <c r="F470">
        <v>89</v>
      </c>
      <c r="G470">
        <v>85</v>
      </c>
      <c r="H470">
        <v>510</v>
      </c>
      <c r="I470" t="s">
        <v>17</v>
      </c>
      <c r="J470">
        <v>4.3</v>
      </c>
      <c r="K470">
        <v>2351</v>
      </c>
      <c r="L470">
        <v>0.26617647058823529</v>
      </c>
      <c r="M470" t="s">
        <v>18</v>
      </c>
    </row>
    <row r="471" spans="1:13" x14ac:dyDescent="0.3">
      <c r="A471" t="s">
        <v>988</v>
      </c>
      <c r="B471" t="s">
        <v>989</v>
      </c>
      <c r="C471" t="s">
        <v>44</v>
      </c>
      <c r="D471" t="s">
        <v>716</v>
      </c>
      <c r="E471">
        <v>20999</v>
      </c>
      <c r="F471">
        <v>15499</v>
      </c>
      <c r="G471">
        <v>26</v>
      </c>
      <c r="H471">
        <v>5500</v>
      </c>
      <c r="I471" t="s">
        <v>55</v>
      </c>
      <c r="J471">
        <v>4.0999999999999996</v>
      </c>
      <c r="K471">
        <v>19253</v>
      </c>
      <c r="L471">
        <v>0.31842885375494079</v>
      </c>
      <c r="M471" t="s">
        <v>18</v>
      </c>
    </row>
    <row r="472" spans="1:13" x14ac:dyDescent="0.3">
      <c r="A472" t="s">
        <v>990</v>
      </c>
      <c r="B472" t="s">
        <v>991</v>
      </c>
      <c r="C472" t="s">
        <v>44</v>
      </c>
      <c r="D472" t="s">
        <v>716</v>
      </c>
      <c r="E472">
        <v>15999</v>
      </c>
      <c r="F472">
        <v>13999</v>
      </c>
      <c r="G472">
        <v>13</v>
      </c>
      <c r="H472">
        <v>2000</v>
      </c>
      <c r="I472" t="s">
        <v>55</v>
      </c>
      <c r="J472">
        <v>3.9</v>
      </c>
      <c r="K472">
        <v>2180</v>
      </c>
      <c r="L472">
        <v>0.10468749999999991</v>
      </c>
      <c r="M472" t="s">
        <v>18</v>
      </c>
    </row>
    <row r="473" spans="1:13" x14ac:dyDescent="0.3">
      <c r="A473" t="s">
        <v>992</v>
      </c>
      <c r="B473" t="s">
        <v>993</v>
      </c>
      <c r="C473" t="s">
        <v>44</v>
      </c>
      <c r="D473" t="s">
        <v>706</v>
      </c>
      <c r="E473">
        <v>4999</v>
      </c>
      <c r="F473">
        <v>1999</v>
      </c>
      <c r="G473">
        <v>60</v>
      </c>
      <c r="H473">
        <v>3000</v>
      </c>
      <c r="I473" t="s">
        <v>167</v>
      </c>
      <c r="J473">
        <v>3.9</v>
      </c>
      <c r="K473">
        <v>7571</v>
      </c>
      <c r="L473">
        <v>0.3952973342447027</v>
      </c>
      <c r="M473" t="s">
        <v>18</v>
      </c>
    </row>
    <row r="474" spans="1:13" x14ac:dyDescent="0.3">
      <c r="A474" t="s">
        <v>994</v>
      </c>
      <c r="B474" t="s">
        <v>995</v>
      </c>
      <c r="C474" t="s">
        <v>44</v>
      </c>
      <c r="D474" t="s">
        <v>706</v>
      </c>
      <c r="E474">
        <v>5999</v>
      </c>
      <c r="F474">
        <v>1399</v>
      </c>
      <c r="G474">
        <v>77</v>
      </c>
      <c r="H474">
        <v>4600</v>
      </c>
      <c r="I474" t="s">
        <v>64</v>
      </c>
      <c r="J474">
        <v>3.3</v>
      </c>
      <c r="K474">
        <v>4415</v>
      </c>
      <c r="L474">
        <v>0.13469387755102041</v>
      </c>
      <c r="M474" t="s">
        <v>18</v>
      </c>
    </row>
    <row r="475" spans="1:13" x14ac:dyDescent="0.3">
      <c r="A475" t="s">
        <v>996</v>
      </c>
      <c r="B475" t="s">
        <v>997</v>
      </c>
      <c r="C475" t="s">
        <v>44</v>
      </c>
      <c r="D475" t="s">
        <v>759</v>
      </c>
      <c r="E475">
        <v>999</v>
      </c>
      <c r="F475">
        <v>599</v>
      </c>
      <c r="G475">
        <v>40</v>
      </c>
      <c r="H475">
        <v>400</v>
      </c>
      <c r="I475" t="s">
        <v>64</v>
      </c>
      <c r="J475">
        <v>4</v>
      </c>
      <c r="K475">
        <v>18654</v>
      </c>
      <c r="L475">
        <v>0.15174501424501419</v>
      </c>
      <c r="M475" t="s">
        <v>18</v>
      </c>
    </row>
    <row r="476" spans="1:13" x14ac:dyDescent="0.3">
      <c r="A476" t="s">
        <v>998</v>
      </c>
      <c r="B476" t="s">
        <v>999</v>
      </c>
      <c r="C476" t="s">
        <v>44</v>
      </c>
      <c r="D476" t="s">
        <v>762</v>
      </c>
      <c r="E476">
        <v>1099</v>
      </c>
      <c r="F476">
        <v>199</v>
      </c>
      <c r="G476">
        <v>82</v>
      </c>
      <c r="H476">
        <v>900</v>
      </c>
      <c r="I476" t="s">
        <v>17</v>
      </c>
      <c r="J476">
        <v>4</v>
      </c>
      <c r="K476">
        <v>3197</v>
      </c>
      <c r="L476">
        <v>0.50416666666666665</v>
      </c>
      <c r="M476" t="s">
        <v>18</v>
      </c>
    </row>
    <row r="477" spans="1:13" x14ac:dyDescent="0.3">
      <c r="A477" t="s">
        <v>1000</v>
      </c>
      <c r="B477" t="s">
        <v>1001</v>
      </c>
      <c r="C477" t="s">
        <v>44</v>
      </c>
      <c r="D477" t="s">
        <v>706</v>
      </c>
      <c r="E477">
        <v>6990</v>
      </c>
      <c r="F477">
        <v>1799</v>
      </c>
      <c r="G477">
        <v>74</v>
      </c>
      <c r="H477">
        <v>5191</v>
      </c>
      <c r="I477" t="s">
        <v>167</v>
      </c>
      <c r="J477">
        <v>4</v>
      </c>
      <c r="K477">
        <v>26880</v>
      </c>
      <c r="L477">
        <v>0.3183673469387755</v>
      </c>
      <c r="M477" t="s">
        <v>18</v>
      </c>
    </row>
    <row r="478" spans="1:13" x14ac:dyDescent="0.3">
      <c r="A478" t="s">
        <v>1002</v>
      </c>
      <c r="B478" t="s">
        <v>1003</v>
      </c>
      <c r="C478" t="s">
        <v>44</v>
      </c>
      <c r="D478" t="s">
        <v>706</v>
      </c>
      <c r="E478">
        <v>6990</v>
      </c>
      <c r="F478">
        <v>1499</v>
      </c>
      <c r="G478">
        <v>79</v>
      </c>
      <c r="H478">
        <v>5491</v>
      </c>
      <c r="I478" t="s">
        <v>64</v>
      </c>
      <c r="J478">
        <v>3.9</v>
      </c>
      <c r="K478">
        <v>21796</v>
      </c>
      <c r="L478">
        <v>0.34155844155844151</v>
      </c>
      <c r="M478" t="s">
        <v>18</v>
      </c>
    </row>
    <row r="479" spans="1:13" x14ac:dyDescent="0.3">
      <c r="A479" t="s">
        <v>1004</v>
      </c>
      <c r="B479" t="s">
        <v>1005</v>
      </c>
      <c r="C479" t="s">
        <v>44</v>
      </c>
      <c r="D479" t="s">
        <v>716</v>
      </c>
      <c r="E479">
        <v>29990</v>
      </c>
      <c r="F479">
        <v>20999</v>
      </c>
      <c r="G479">
        <v>30</v>
      </c>
      <c r="H479">
        <v>8991</v>
      </c>
      <c r="I479" t="s">
        <v>102</v>
      </c>
      <c r="J479">
        <v>4.3</v>
      </c>
      <c r="K479">
        <v>9499</v>
      </c>
      <c r="L479">
        <v>0.25429421768707489</v>
      </c>
      <c r="M479" t="s">
        <v>18</v>
      </c>
    </row>
    <row r="480" spans="1:13" x14ac:dyDescent="0.3">
      <c r="A480" t="s">
        <v>1006</v>
      </c>
      <c r="B480" t="s">
        <v>1007</v>
      </c>
      <c r="C480" t="s">
        <v>44</v>
      </c>
      <c r="D480" t="s">
        <v>716</v>
      </c>
      <c r="E480">
        <v>13499</v>
      </c>
      <c r="F480">
        <v>12999</v>
      </c>
      <c r="G480">
        <v>4</v>
      </c>
      <c r="H480">
        <v>500</v>
      </c>
      <c r="I480" t="s">
        <v>55</v>
      </c>
      <c r="J480">
        <v>4.0999999999999996</v>
      </c>
      <c r="K480">
        <v>56098</v>
      </c>
      <c r="L480">
        <v>0.1813461538461538</v>
      </c>
      <c r="M480" t="s">
        <v>18</v>
      </c>
    </row>
    <row r="481" spans="1:13" x14ac:dyDescent="0.3">
      <c r="A481" t="s">
        <v>1008</v>
      </c>
      <c r="B481" t="s">
        <v>1009</v>
      </c>
      <c r="C481" t="s">
        <v>44</v>
      </c>
      <c r="D481" t="s">
        <v>716</v>
      </c>
      <c r="E481">
        <v>20999</v>
      </c>
      <c r="F481">
        <v>16999</v>
      </c>
      <c r="G481">
        <v>19</v>
      </c>
      <c r="H481">
        <v>4000</v>
      </c>
      <c r="I481" t="s">
        <v>55</v>
      </c>
      <c r="J481">
        <v>4.0999999999999996</v>
      </c>
      <c r="K481">
        <v>31822</v>
      </c>
      <c r="L481">
        <v>0.33271929824561403</v>
      </c>
      <c r="M481" t="s">
        <v>18</v>
      </c>
    </row>
    <row r="482" spans="1:13" x14ac:dyDescent="0.3">
      <c r="A482" t="s">
        <v>1010</v>
      </c>
      <c r="B482" t="s">
        <v>1011</v>
      </c>
      <c r="C482" t="s">
        <v>44</v>
      </c>
      <c r="D482" t="s">
        <v>716</v>
      </c>
      <c r="E482">
        <v>27990</v>
      </c>
      <c r="F482">
        <v>19999</v>
      </c>
      <c r="G482">
        <v>29</v>
      </c>
      <c r="H482">
        <v>7991</v>
      </c>
      <c r="I482" t="s">
        <v>55</v>
      </c>
      <c r="J482">
        <v>4.3</v>
      </c>
      <c r="K482">
        <v>9499</v>
      </c>
      <c r="L482">
        <v>0.25429421768707489</v>
      </c>
      <c r="M482" t="s">
        <v>18</v>
      </c>
    </row>
    <row r="483" spans="1:13" x14ac:dyDescent="0.3">
      <c r="A483" t="s">
        <v>1012</v>
      </c>
      <c r="B483" t="s">
        <v>1013</v>
      </c>
      <c r="C483" t="s">
        <v>44</v>
      </c>
      <c r="D483" t="s">
        <v>716</v>
      </c>
      <c r="E483">
        <v>18999</v>
      </c>
      <c r="F483">
        <v>12999</v>
      </c>
      <c r="G483">
        <v>32</v>
      </c>
      <c r="H483">
        <v>6000</v>
      </c>
      <c r="I483" t="s">
        <v>55</v>
      </c>
      <c r="J483">
        <v>4.0999999999999996</v>
      </c>
      <c r="K483">
        <v>50772</v>
      </c>
      <c r="L483">
        <v>0.25200349301397218</v>
      </c>
      <c r="M483" t="s">
        <v>18</v>
      </c>
    </row>
    <row r="484" spans="1:13" x14ac:dyDescent="0.3">
      <c r="A484" t="s">
        <v>1014</v>
      </c>
      <c r="B484" t="s">
        <v>1015</v>
      </c>
      <c r="C484" t="s">
        <v>44</v>
      </c>
      <c r="D484" t="s">
        <v>706</v>
      </c>
      <c r="E484">
        <v>5999</v>
      </c>
      <c r="F484">
        <v>2999</v>
      </c>
      <c r="G484">
        <v>50</v>
      </c>
      <c r="H484">
        <v>3000</v>
      </c>
      <c r="I484" t="s">
        <v>167</v>
      </c>
      <c r="J484">
        <v>4.0999999999999996</v>
      </c>
      <c r="K484">
        <v>7148</v>
      </c>
      <c r="L484">
        <v>0.33993506493506498</v>
      </c>
      <c r="M484" t="s">
        <v>18</v>
      </c>
    </row>
    <row r="485" spans="1:13" x14ac:dyDescent="0.3">
      <c r="A485" t="s">
        <v>1016</v>
      </c>
      <c r="B485" t="s">
        <v>1017</v>
      </c>
      <c r="C485" t="s">
        <v>44</v>
      </c>
      <c r="D485" t="s">
        <v>762</v>
      </c>
      <c r="E485">
        <v>999</v>
      </c>
      <c r="F485">
        <v>329</v>
      </c>
      <c r="G485">
        <v>67</v>
      </c>
      <c r="H485">
        <v>670</v>
      </c>
      <c r="I485" t="s">
        <v>17</v>
      </c>
      <c r="J485">
        <v>4.2</v>
      </c>
      <c r="K485">
        <v>3492</v>
      </c>
      <c r="L485">
        <v>0.30952380952380948</v>
      </c>
      <c r="M485" t="s">
        <v>18</v>
      </c>
    </row>
    <row r="486" spans="1:13" x14ac:dyDescent="0.3">
      <c r="A486" t="s">
        <v>1018</v>
      </c>
      <c r="B486" t="s">
        <v>1019</v>
      </c>
      <c r="C486" t="s">
        <v>44</v>
      </c>
      <c r="D486" t="s">
        <v>706</v>
      </c>
      <c r="E486">
        <v>5999</v>
      </c>
      <c r="F486">
        <v>1299</v>
      </c>
      <c r="G486">
        <v>78</v>
      </c>
      <c r="H486">
        <v>4700</v>
      </c>
      <c r="I486" t="s">
        <v>64</v>
      </c>
      <c r="J486">
        <v>3.3</v>
      </c>
      <c r="K486">
        <v>4415</v>
      </c>
      <c r="L486">
        <v>0.13469387755102041</v>
      </c>
      <c r="M486" t="s">
        <v>18</v>
      </c>
    </row>
    <row r="487" spans="1:13" x14ac:dyDescent="0.3">
      <c r="A487" t="s">
        <v>1020</v>
      </c>
      <c r="B487" t="s">
        <v>1021</v>
      </c>
      <c r="C487" t="s">
        <v>44</v>
      </c>
      <c r="D487" t="s">
        <v>727</v>
      </c>
      <c r="E487">
        <v>3500</v>
      </c>
      <c r="F487">
        <v>1989</v>
      </c>
      <c r="G487">
        <v>43</v>
      </c>
      <c r="H487">
        <v>1511</v>
      </c>
      <c r="I487" t="s">
        <v>167</v>
      </c>
      <c r="J487">
        <v>4.4000000000000004</v>
      </c>
      <c r="K487">
        <v>67260</v>
      </c>
      <c r="L487">
        <v>0.328125</v>
      </c>
      <c r="M487" t="s">
        <v>18</v>
      </c>
    </row>
    <row r="488" spans="1:13" x14ac:dyDescent="0.3">
      <c r="A488" t="s">
        <v>1022</v>
      </c>
      <c r="B488" t="s">
        <v>708</v>
      </c>
      <c r="C488" t="s">
        <v>44</v>
      </c>
      <c r="D488" t="s">
        <v>706</v>
      </c>
      <c r="E488">
        <v>9999</v>
      </c>
      <c r="F488">
        <v>1999</v>
      </c>
      <c r="G488">
        <v>80</v>
      </c>
      <c r="H488">
        <v>8000</v>
      </c>
      <c r="I488" t="s">
        <v>167</v>
      </c>
      <c r="J488">
        <v>4.3</v>
      </c>
      <c r="K488">
        <v>27704</v>
      </c>
      <c r="L488">
        <v>0.32101587301587298</v>
      </c>
      <c r="M488" t="s">
        <v>18</v>
      </c>
    </row>
    <row r="489" spans="1:13" x14ac:dyDescent="0.3">
      <c r="A489" t="s">
        <v>1023</v>
      </c>
      <c r="B489" t="s">
        <v>1024</v>
      </c>
      <c r="C489" t="s">
        <v>44</v>
      </c>
      <c r="D489" t="s">
        <v>716</v>
      </c>
      <c r="E489">
        <v>18999</v>
      </c>
      <c r="F489">
        <v>12999</v>
      </c>
      <c r="G489">
        <v>32</v>
      </c>
      <c r="H489">
        <v>6000</v>
      </c>
      <c r="I489" t="s">
        <v>55</v>
      </c>
      <c r="J489">
        <v>4.0999999999999996</v>
      </c>
      <c r="K489">
        <v>50772</v>
      </c>
      <c r="L489">
        <v>0.25200349301397218</v>
      </c>
      <c r="M489" t="s">
        <v>18</v>
      </c>
    </row>
    <row r="490" spans="1:13" x14ac:dyDescent="0.3">
      <c r="A490" t="s">
        <v>1025</v>
      </c>
      <c r="B490" t="s">
        <v>1026</v>
      </c>
      <c r="C490" t="s">
        <v>44</v>
      </c>
      <c r="D490" t="s">
        <v>706</v>
      </c>
      <c r="E490">
        <v>4999</v>
      </c>
      <c r="F490">
        <v>1499</v>
      </c>
      <c r="G490">
        <v>70</v>
      </c>
      <c r="H490">
        <v>3500</v>
      </c>
      <c r="I490" t="s">
        <v>64</v>
      </c>
      <c r="J490">
        <v>4</v>
      </c>
      <c r="K490">
        <v>92588</v>
      </c>
      <c r="L490">
        <v>0.27499999999999991</v>
      </c>
      <c r="M490" t="s">
        <v>18</v>
      </c>
    </row>
    <row r="491" spans="1:13" x14ac:dyDescent="0.3">
      <c r="A491" t="s">
        <v>1027</v>
      </c>
      <c r="B491" t="s">
        <v>1028</v>
      </c>
      <c r="C491" t="s">
        <v>44</v>
      </c>
      <c r="D491" t="s">
        <v>716</v>
      </c>
      <c r="E491">
        <v>20999</v>
      </c>
      <c r="F491">
        <v>16999</v>
      </c>
      <c r="G491">
        <v>19</v>
      </c>
      <c r="H491">
        <v>4000</v>
      </c>
      <c r="I491" t="s">
        <v>55</v>
      </c>
      <c r="J491">
        <v>4.0999999999999996</v>
      </c>
      <c r="K491">
        <v>31822</v>
      </c>
      <c r="L491">
        <v>0.33271929824561403</v>
      </c>
      <c r="M491" t="s">
        <v>18</v>
      </c>
    </row>
    <row r="492" spans="1:13" x14ac:dyDescent="0.3">
      <c r="A492" t="s">
        <v>1029</v>
      </c>
      <c r="B492" t="s">
        <v>1030</v>
      </c>
      <c r="C492" t="s">
        <v>44</v>
      </c>
      <c r="D492" t="s">
        <v>706</v>
      </c>
      <c r="E492">
        <v>8499</v>
      </c>
      <c r="F492">
        <v>1999</v>
      </c>
      <c r="G492">
        <v>76</v>
      </c>
      <c r="H492">
        <v>6500</v>
      </c>
      <c r="I492" t="s">
        <v>167</v>
      </c>
      <c r="J492">
        <v>4.3</v>
      </c>
      <c r="K492">
        <v>240</v>
      </c>
      <c r="L492">
        <v>-1.6666666666666601E-2</v>
      </c>
      <c r="M492" t="s">
        <v>103</v>
      </c>
    </row>
    <row r="493" spans="1:13" x14ac:dyDescent="0.3">
      <c r="A493" t="s">
        <v>1031</v>
      </c>
      <c r="B493" t="s">
        <v>1032</v>
      </c>
      <c r="C493" t="s">
        <v>44</v>
      </c>
      <c r="D493" t="s">
        <v>706</v>
      </c>
      <c r="E493">
        <v>6999</v>
      </c>
      <c r="F493">
        <v>4999</v>
      </c>
      <c r="G493">
        <v>29</v>
      </c>
      <c r="H493">
        <v>2000</v>
      </c>
      <c r="I493" t="s">
        <v>167</v>
      </c>
      <c r="J493">
        <v>3.8</v>
      </c>
      <c r="K493">
        <v>758</v>
      </c>
      <c r="L493">
        <v>0.13015873015873011</v>
      </c>
      <c r="M493" t="s">
        <v>18</v>
      </c>
    </row>
    <row r="494" spans="1:13" x14ac:dyDescent="0.3">
      <c r="A494" t="s">
        <v>1033</v>
      </c>
      <c r="B494" t="s">
        <v>1034</v>
      </c>
      <c r="C494" t="s">
        <v>44</v>
      </c>
      <c r="D494" t="s">
        <v>706</v>
      </c>
      <c r="E494">
        <v>5999</v>
      </c>
      <c r="F494">
        <v>2499</v>
      </c>
      <c r="G494">
        <v>58</v>
      </c>
      <c r="H494">
        <v>3500</v>
      </c>
      <c r="I494" t="s">
        <v>167</v>
      </c>
      <c r="J494">
        <v>3.7</v>
      </c>
      <c r="K494">
        <v>828</v>
      </c>
      <c r="L494">
        <v>0.41999999999999987</v>
      </c>
      <c r="M494" t="s">
        <v>18</v>
      </c>
    </row>
    <row r="495" spans="1:13" x14ac:dyDescent="0.3">
      <c r="A495" t="s">
        <v>1035</v>
      </c>
      <c r="B495" t="s">
        <v>1036</v>
      </c>
      <c r="C495" t="s">
        <v>44</v>
      </c>
      <c r="D495" t="s">
        <v>732</v>
      </c>
      <c r="E495">
        <v>1630</v>
      </c>
      <c r="F495">
        <v>1399</v>
      </c>
      <c r="G495">
        <v>14</v>
      </c>
      <c r="H495">
        <v>231</v>
      </c>
      <c r="I495" t="s">
        <v>64</v>
      </c>
      <c r="J495">
        <v>4</v>
      </c>
      <c r="K495">
        <v>9378</v>
      </c>
      <c r="L495">
        <v>0.57523809523809522</v>
      </c>
      <c r="M495" t="s">
        <v>18</v>
      </c>
    </row>
    <row r="496" spans="1:13" x14ac:dyDescent="0.3">
      <c r="A496" t="s">
        <v>1037</v>
      </c>
      <c r="B496" t="s">
        <v>1038</v>
      </c>
      <c r="C496" t="s">
        <v>44</v>
      </c>
      <c r="D496" t="s">
        <v>706</v>
      </c>
      <c r="E496">
        <v>9999</v>
      </c>
      <c r="F496">
        <v>1499</v>
      </c>
      <c r="G496">
        <v>85</v>
      </c>
      <c r="H496">
        <v>8500</v>
      </c>
      <c r="I496" t="s">
        <v>64</v>
      </c>
      <c r="J496">
        <v>4.2</v>
      </c>
      <c r="K496">
        <v>22638</v>
      </c>
      <c r="L496">
        <v>0.3772161172161172</v>
      </c>
      <c r="M496" t="s">
        <v>18</v>
      </c>
    </row>
    <row r="497" spans="1:13" x14ac:dyDescent="0.3">
      <c r="A497" t="s">
        <v>1039</v>
      </c>
      <c r="B497" t="s">
        <v>1040</v>
      </c>
      <c r="C497" t="s">
        <v>44</v>
      </c>
      <c r="D497" t="s">
        <v>762</v>
      </c>
      <c r="E497">
        <v>599</v>
      </c>
      <c r="F497">
        <v>249</v>
      </c>
      <c r="G497">
        <v>58</v>
      </c>
      <c r="H497">
        <v>350</v>
      </c>
      <c r="I497" t="s">
        <v>17</v>
      </c>
      <c r="J497">
        <v>3.9</v>
      </c>
      <c r="K497">
        <v>2147</v>
      </c>
      <c r="L497">
        <v>0.33571428571428569</v>
      </c>
      <c r="M497" t="s">
        <v>18</v>
      </c>
    </row>
    <row r="498" spans="1:13" x14ac:dyDescent="0.3">
      <c r="A498" t="s">
        <v>1041</v>
      </c>
      <c r="B498" t="s">
        <v>1042</v>
      </c>
      <c r="C498" t="s">
        <v>44</v>
      </c>
      <c r="D498" t="s">
        <v>918</v>
      </c>
      <c r="E498">
        <v>1199</v>
      </c>
      <c r="F498">
        <v>299</v>
      </c>
      <c r="G498">
        <v>75</v>
      </c>
      <c r="H498">
        <v>900</v>
      </c>
      <c r="I498" t="s">
        <v>17</v>
      </c>
      <c r="J498">
        <v>4.5</v>
      </c>
      <c r="K498">
        <v>596</v>
      </c>
      <c r="L498">
        <v>0.30702651515151508</v>
      </c>
      <c r="M498" t="s">
        <v>18</v>
      </c>
    </row>
    <row r="499" spans="1:13" x14ac:dyDescent="0.3">
      <c r="A499" t="s">
        <v>1043</v>
      </c>
      <c r="B499" t="s">
        <v>1044</v>
      </c>
      <c r="C499" t="s">
        <v>44</v>
      </c>
      <c r="D499" t="s">
        <v>879</v>
      </c>
      <c r="E499">
        <v>499</v>
      </c>
      <c r="F499">
        <v>79</v>
      </c>
      <c r="G499">
        <v>84</v>
      </c>
      <c r="H499">
        <v>420</v>
      </c>
      <c r="I499" t="s">
        <v>17</v>
      </c>
      <c r="J499">
        <v>4.2</v>
      </c>
      <c r="K499">
        <v>1949</v>
      </c>
      <c r="L499">
        <v>0.155922619047619</v>
      </c>
      <c r="M499" t="s">
        <v>18</v>
      </c>
    </row>
    <row r="500" spans="1:13" x14ac:dyDescent="0.3">
      <c r="A500" t="s">
        <v>1045</v>
      </c>
      <c r="B500" t="s">
        <v>1046</v>
      </c>
      <c r="C500" t="s">
        <v>44</v>
      </c>
      <c r="D500" t="s">
        <v>716</v>
      </c>
      <c r="E500">
        <v>15999</v>
      </c>
      <c r="F500">
        <v>13999</v>
      </c>
      <c r="G500">
        <v>13</v>
      </c>
      <c r="H500">
        <v>2000</v>
      </c>
      <c r="I500" t="s">
        <v>55</v>
      </c>
      <c r="J500">
        <v>3.9</v>
      </c>
      <c r="K500">
        <v>2180</v>
      </c>
      <c r="L500">
        <v>8.4999999999999895E-2</v>
      </c>
      <c r="M500" t="s">
        <v>103</v>
      </c>
    </row>
    <row r="501" spans="1:13" x14ac:dyDescent="0.3">
      <c r="A501" t="s">
        <v>1047</v>
      </c>
      <c r="B501" t="s">
        <v>1048</v>
      </c>
      <c r="C501" t="s">
        <v>44</v>
      </c>
      <c r="D501" t="s">
        <v>737</v>
      </c>
      <c r="E501">
        <v>999</v>
      </c>
      <c r="F501">
        <v>949</v>
      </c>
      <c r="G501">
        <v>5</v>
      </c>
      <c r="H501">
        <v>50</v>
      </c>
      <c r="I501" t="s">
        <v>64</v>
      </c>
      <c r="J501">
        <v>4.2</v>
      </c>
      <c r="K501">
        <v>31539</v>
      </c>
      <c r="L501">
        <v>0.4905882352941176</v>
      </c>
      <c r="M501" t="s">
        <v>18</v>
      </c>
    </row>
    <row r="502" spans="1:13" x14ac:dyDescent="0.3">
      <c r="A502" t="s">
        <v>1049</v>
      </c>
      <c r="B502" t="s">
        <v>1050</v>
      </c>
      <c r="C502" t="s">
        <v>44</v>
      </c>
      <c r="D502" t="s">
        <v>841</v>
      </c>
      <c r="E502">
        <v>499</v>
      </c>
      <c r="F502">
        <v>99</v>
      </c>
      <c r="G502">
        <v>80</v>
      </c>
      <c r="H502">
        <v>400</v>
      </c>
      <c r="I502" t="s">
        <v>17</v>
      </c>
      <c r="J502">
        <v>4.0999999999999996</v>
      </c>
      <c r="K502">
        <v>2451</v>
      </c>
      <c r="L502">
        <v>0.4380952380952382</v>
      </c>
      <c r="M502" t="s">
        <v>18</v>
      </c>
    </row>
    <row r="503" spans="1:13" x14ac:dyDescent="0.3">
      <c r="A503" t="s">
        <v>1051</v>
      </c>
      <c r="B503" t="s">
        <v>1052</v>
      </c>
      <c r="C503" t="s">
        <v>44</v>
      </c>
      <c r="D503" t="s">
        <v>706</v>
      </c>
      <c r="E503">
        <v>7990</v>
      </c>
      <c r="F503">
        <v>2499</v>
      </c>
      <c r="G503">
        <v>69</v>
      </c>
      <c r="H503">
        <v>5491</v>
      </c>
      <c r="I503" t="s">
        <v>167</v>
      </c>
      <c r="J503">
        <v>4.0999999999999996</v>
      </c>
      <c r="K503">
        <v>154</v>
      </c>
      <c r="L503">
        <v>0.351439393939394</v>
      </c>
      <c r="M503" t="s">
        <v>18</v>
      </c>
    </row>
    <row r="504" spans="1:13" x14ac:dyDescent="0.3">
      <c r="A504" t="s">
        <v>1053</v>
      </c>
      <c r="B504" t="s">
        <v>1054</v>
      </c>
      <c r="C504" t="s">
        <v>44</v>
      </c>
      <c r="D504" t="s">
        <v>1055</v>
      </c>
      <c r="E504">
        <v>1999</v>
      </c>
      <c r="F504">
        <v>689</v>
      </c>
      <c r="G504">
        <v>66</v>
      </c>
      <c r="H504">
        <v>1310</v>
      </c>
      <c r="I504" t="s">
        <v>64</v>
      </c>
      <c r="J504">
        <v>4.3</v>
      </c>
      <c r="K504">
        <v>1193</v>
      </c>
      <c r="L504">
        <v>0.2282407407407408</v>
      </c>
      <c r="M504" t="s">
        <v>18</v>
      </c>
    </row>
    <row r="505" spans="1:13" x14ac:dyDescent="0.3">
      <c r="A505" t="s">
        <v>1056</v>
      </c>
      <c r="B505" t="s">
        <v>1057</v>
      </c>
      <c r="C505" t="s">
        <v>44</v>
      </c>
      <c r="D505" t="s">
        <v>958</v>
      </c>
      <c r="E505">
        <v>1899</v>
      </c>
      <c r="F505">
        <v>499</v>
      </c>
      <c r="G505">
        <v>74</v>
      </c>
      <c r="H505">
        <v>1400</v>
      </c>
      <c r="I505" t="s">
        <v>17</v>
      </c>
      <c r="J505">
        <v>4.0999999999999996</v>
      </c>
      <c r="K505">
        <v>1475</v>
      </c>
      <c r="L505">
        <v>0.14905895691609969</v>
      </c>
      <c r="M505" t="s">
        <v>18</v>
      </c>
    </row>
    <row r="506" spans="1:13" x14ac:dyDescent="0.3">
      <c r="A506" t="s">
        <v>1058</v>
      </c>
      <c r="B506" t="s">
        <v>1059</v>
      </c>
      <c r="C506" t="s">
        <v>44</v>
      </c>
      <c r="D506" t="s">
        <v>918</v>
      </c>
      <c r="E506">
        <v>999</v>
      </c>
      <c r="F506">
        <v>299</v>
      </c>
      <c r="G506">
        <v>70</v>
      </c>
      <c r="H506">
        <v>700</v>
      </c>
      <c r="I506" t="s">
        <v>17</v>
      </c>
      <c r="J506">
        <v>4.3</v>
      </c>
      <c r="K506">
        <v>8891</v>
      </c>
      <c r="L506">
        <v>0.31790476190476191</v>
      </c>
      <c r="M506" t="s">
        <v>18</v>
      </c>
    </row>
    <row r="507" spans="1:13" x14ac:dyDescent="0.3">
      <c r="A507" t="s">
        <v>1060</v>
      </c>
      <c r="B507" t="s">
        <v>1061</v>
      </c>
      <c r="C507" t="s">
        <v>44</v>
      </c>
      <c r="D507" t="s">
        <v>841</v>
      </c>
      <c r="E507">
        <v>499</v>
      </c>
      <c r="F507">
        <v>209</v>
      </c>
      <c r="G507">
        <v>58</v>
      </c>
      <c r="H507">
        <v>290</v>
      </c>
      <c r="I507" t="s">
        <v>17</v>
      </c>
      <c r="J507">
        <v>3.6</v>
      </c>
      <c r="K507">
        <v>104</v>
      </c>
      <c r="L507">
        <v>0.23186813186813179</v>
      </c>
      <c r="M507" t="s">
        <v>18</v>
      </c>
    </row>
    <row r="508" spans="1:13" x14ac:dyDescent="0.3">
      <c r="A508" t="s">
        <v>1062</v>
      </c>
      <c r="B508" t="s">
        <v>1063</v>
      </c>
      <c r="C508" t="s">
        <v>44</v>
      </c>
      <c r="D508" t="s">
        <v>716</v>
      </c>
      <c r="E508">
        <v>12999</v>
      </c>
      <c r="F508">
        <v>8499</v>
      </c>
      <c r="G508">
        <v>35</v>
      </c>
      <c r="H508">
        <v>4500</v>
      </c>
      <c r="I508" t="s">
        <v>55</v>
      </c>
      <c r="J508">
        <v>4.0999999999999996</v>
      </c>
      <c r="K508">
        <v>6662</v>
      </c>
      <c r="L508">
        <v>0.30545454545454548</v>
      </c>
      <c r="M508" t="s">
        <v>18</v>
      </c>
    </row>
    <row r="509" spans="1:13" x14ac:dyDescent="0.3">
      <c r="A509" t="s">
        <v>1064</v>
      </c>
      <c r="B509" t="s">
        <v>1065</v>
      </c>
      <c r="C509" t="s">
        <v>44</v>
      </c>
      <c r="D509" t="s">
        <v>713</v>
      </c>
      <c r="E509">
        <v>3999</v>
      </c>
      <c r="F509">
        <v>2179</v>
      </c>
      <c r="G509">
        <v>46</v>
      </c>
      <c r="H509">
        <v>1820</v>
      </c>
      <c r="I509" t="s">
        <v>167</v>
      </c>
      <c r="J509">
        <v>4</v>
      </c>
      <c r="K509">
        <v>8380</v>
      </c>
      <c r="L509">
        <v>0.1416222222222222</v>
      </c>
      <c r="M509" t="s">
        <v>18</v>
      </c>
    </row>
    <row r="510" spans="1:13" x14ac:dyDescent="0.3">
      <c r="A510" t="s">
        <v>1066</v>
      </c>
      <c r="B510" t="s">
        <v>1067</v>
      </c>
      <c r="C510" t="s">
        <v>44</v>
      </c>
      <c r="D510" t="s">
        <v>716</v>
      </c>
      <c r="E510">
        <v>20999</v>
      </c>
      <c r="F510">
        <v>16999</v>
      </c>
      <c r="G510">
        <v>19</v>
      </c>
      <c r="H510">
        <v>4000</v>
      </c>
      <c r="I510" t="s">
        <v>55</v>
      </c>
      <c r="J510">
        <v>4.0999999999999996</v>
      </c>
      <c r="K510">
        <v>31822</v>
      </c>
      <c r="L510">
        <v>0.33271929824561403</v>
      </c>
      <c r="M510" t="s">
        <v>18</v>
      </c>
    </row>
    <row r="511" spans="1:13" x14ac:dyDescent="0.3">
      <c r="A511" t="s">
        <v>1068</v>
      </c>
      <c r="B511" t="s">
        <v>1069</v>
      </c>
      <c r="C511" t="s">
        <v>44</v>
      </c>
      <c r="D511" t="s">
        <v>716</v>
      </c>
      <c r="E511">
        <v>49999</v>
      </c>
      <c r="F511">
        <v>44999</v>
      </c>
      <c r="G511">
        <v>10</v>
      </c>
      <c r="H511">
        <v>5000</v>
      </c>
      <c r="I511" t="s">
        <v>102</v>
      </c>
      <c r="J511">
        <v>4.3</v>
      </c>
      <c r="K511">
        <v>3075</v>
      </c>
      <c r="L511">
        <v>0.26446663059163061</v>
      </c>
      <c r="M511" t="s">
        <v>18</v>
      </c>
    </row>
    <row r="512" spans="1:13" x14ac:dyDescent="0.3">
      <c r="A512" t="s">
        <v>1070</v>
      </c>
      <c r="B512" t="s">
        <v>1071</v>
      </c>
      <c r="C512" t="s">
        <v>44</v>
      </c>
      <c r="D512" t="s">
        <v>732</v>
      </c>
      <c r="E512">
        <v>2999</v>
      </c>
      <c r="F512">
        <v>2599</v>
      </c>
      <c r="G512">
        <v>13</v>
      </c>
      <c r="H512">
        <v>400</v>
      </c>
      <c r="I512" t="s">
        <v>167</v>
      </c>
      <c r="J512">
        <v>3.9</v>
      </c>
      <c r="K512">
        <v>14266</v>
      </c>
      <c r="L512">
        <v>0.37844202898550727</v>
      </c>
      <c r="M512" t="s">
        <v>18</v>
      </c>
    </row>
    <row r="513" spans="1:13" x14ac:dyDescent="0.3">
      <c r="A513" t="s">
        <v>1072</v>
      </c>
      <c r="B513" t="s">
        <v>1073</v>
      </c>
      <c r="C513" t="s">
        <v>44</v>
      </c>
      <c r="D513" t="s">
        <v>706</v>
      </c>
      <c r="E513">
        <v>6499</v>
      </c>
      <c r="F513">
        <v>2799</v>
      </c>
      <c r="G513">
        <v>57</v>
      </c>
      <c r="H513">
        <v>3700</v>
      </c>
      <c r="I513" t="s">
        <v>167</v>
      </c>
      <c r="J513">
        <v>4.0999999999999996</v>
      </c>
      <c r="K513">
        <v>38879</v>
      </c>
      <c r="L513">
        <v>0.14164529914529911</v>
      </c>
      <c r="M513" t="s">
        <v>18</v>
      </c>
    </row>
    <row r="514" spans="1:13" x14ac:dyDescent="0.3">
      <c r="A514" t="s">
        <v>1074</v>
      </c>
      <c r="B514" t="s">
        <v>1075</v>
      </c>
      <c r="C514" t="s">
        <v>44</v>
      </c>
      <c r="D514" t="s">
        <v>1076</v>
      </c>
      <c r="E514">
        <v>2990</v>
      </c>
      <c r="F514">
        <v>1399</v>
      </c>
      <c r="G514">
        <v>53</v>
      </c>
      <c r="H514">
        <v>1591</v>
      </c>
      <c r="I514" t="s">
        <v>64</v>
      </c>
      <c r="J514">
        <v>4.0999999999999996</v>
      </c>
      <c r="K514">
        <v>97175</v>
      </c>
      <c r="L514">
        <v>0.16897886146230509</v>
      </c>
      <c r="M514" t="s">
        <v>18</v>
      </c>
    </row>
    <row r="515" spans="1:13" x14ac:dyDescent="0.3">
      <c r="A515" t="s">
        <v>1077</v>
      </c>
      <c r="B515" t="s">
        <v>1078</v>
      </c>
      <c r="C515" t="s">
        <v>44</v>
      </c>
      <c r="D515" t="s">
        <v>727</v>
      </c>
      <c r="E515">
        <v>2400</v>
      </c>
      <c r="F515">
        <v>649</v>
      </c>
      <c r="G515">
        <v>73</v>
      </c>
      <c r="H515">
        <v>1751</v>
      </c>
      <c r="I515" t="s">
        <v>64</v>
      </c>
      <c r="J515">
        <v>4.4000000000000004</v>
      </c>
      <c r="K515">
        <v>67260</v>
      </c>
      <c r="L515">
        <v>0.328125</v>
      </c>
      <c r="M515" t="s">
        <v>18</v>
      </c>
    </row>
    <row r="516" spans="1:13" x14ac:dyDescent="0.3">
      <c r="A516" t="s">
        <v>1079</v>
      </c>
      <c r="B516" t="s">
        <v>1080</v>
      </c>
      <c r="C516" t="s">
        <v>44</v>
      </c>
      <c r="D516" t="s">
        <v>762</v>
      </c>
      <c r="E516">
        <v>3990</v>
      </c>
      <c r="F516">
        <v>799</v>
      </c>
      <c r="G516">
        <v>80</v>
      </c>
      <c r="H516">
        <v>3191</v>
      </c>
      <c r="I516" t="s">
        <v>64</v>
      </c>
      <c r="J516">
        <v>3.8</v>
      </c>
      <c r="K516">
        <v>119</v>
      </c>
      <c r="L516">
        <v>0.35089285714285712</v>
      </c>
      <c r="M516" t="s">
        <v>18</v>
      </c>
    </row>
    <row r="517" spans="1:13" x14ac:dyDescent="0.3">
      <c r="A517" t="s">
        <v>1081</v>
      </c>
      <c r="B517" t="s">
        <v>1082</v>
      </c>
      <c r="C517" t="s">
        <v>15</v>
      </c>
      <c r="D517" t="s">
        <v>1083</v>
      </c>
      <c r="E517">
        <v>149</v>
      </c>
      <c r="F517">
        <v>149</v>
      </c>
      <c r="G517">
        <v>0</v>
      </c>
      <c r="H517">
        <v>0</v>
      </c>
      <c r="I517" t="s">
        <v>17</v>
      </c>
      <c r="J517">
        <v>4.3</v>
      </c>
      <c r="K517">
        <v>10833</v>
      </c>
      <c r="L517">
        <v>0.12675170068027211</v>
      </c>
      <c r="M517" t="s">
        <v>18</v>
      </c>
    </row>
    <row r="518" spans="1:13" x14ac:dyDescent="0.3">
      <c r="A518" t="s">
        <v>1084</v>
      </c>
      <c r="B518" t="s">
        <v>1085</v>
      </c>
      <c r="C518" t="s">
        <v>44</v>
      </c>
      <c r="D518" t="s">
        <v>732</v>
      </c>
      <c r="E518">
        <v>5299</v>
      </c>
      <c r="F518">
        <v>3799</v>
      </c>
      <c r="G518">
        <v>28</v>
      </c>
      <c r="H518">
        <v>1500</v>
      </c>
      <c r="I518" t="s">
        <v>167</v>
      </c>
      <c r="J518">
        <v>3.5</v>
      </c>
      <c r="K518">
        <v>1641</v>
      </c>
      <c r="L518">
        <v>0.12164117826617819</v>
      </c>
      <c r="M518" t="s">
        <v>18</v>
      </c>
    </row>
    <row r="519" spans="1:13" x14ac:dyDescent="0.3">
      <c r="A519" t="s">
        <v>1086</v>
      </c>
      <c r="B519" t="s">
        <v>1087</v>
      </c>
      <c r="C519" t="s">
        <v>44</v>
      </c>
      <c r="D519" t="s">
        <v>965</v>
      </c>
      <c r="E519">
        <v>1899</v>
      </c>
      <c r="F519">
        <v>199</v>
      </c>
      <c r="G519">
        <v>90</v>
      </c>
      <c r="H519">
        <v>1700</v>
      </c>
      <c r="I519" t="s">
        <v>17</v>
      </c>
      <c r="J519">
        <v>4</v>
      </c>
      <c r="K519">
        <v>4740</v>
      </c>
      <c r="L519">
        <v>0.366468253968254</v>
      </c>
      <c r="M519" t="s">
        <v>18</v>
      </c>
    </row>
    <row r="520" spans="1:13" x14ac:dyDescent="0.3">
      <c r="A520" t="s">
        <v>1088</v>
      </c>
      <c r="B520" t="s">
        <v>1089</v>
      </c>
      <c r="C520" t="s">
        <v>44</v>
      </c>
      <c r="D520" t="s">
        <v>716</v>
      </c>
      <c r="E520">
        <v>32999</v>
      </c>
      <c r="F520">
        <v>23999</v>
      </c>
      <c r="G520">
        <v>27</v>
      </c>
      <c r="H520">
        <v>9000</v>
      </c>
      <c r="I520" t="s">
        <v>102</v>
      </c>
      <c r="J520">
        <v>3.9</v>
      </c>
      <c r="K520">
        <v>8866</v>
      </c>
      <c r="L520">
        <v>0.10143904243904241</v>
      </c>
      <c r="M520" t="s">
        <v>18</v>
      </c>
    </row>
    <row r="521" spans="1:13" x14ac:dyDescent="0.3">
      <c r="A521" t="s">
        <v>1090</v>
      </c>
      <c r="B521" t="s">
        <v>1091</v>
      </c>
      <c r="C521" t="s">
        <v>44</v>
      </c>
      <c r="D521" t="s">
        <v>716</v>
      </c>
      <c r="E521">
        <v>39990</v>
      </c>
      <c r="F521">
        <v>29990</v>
      </c>
      <c r="G521">
        <v>25</v>
      </c>
      <c r="H521">
        <v>10000</v>
      </c>
      <c r="I521" t="s">
        <v>102</v>
      </c>
      <c r="J521">
        <v>4.3</v>
      </c>
      <c r="K521">
        <v>8399</v>
      </c>
      <c r="L521">
        <v>0.159464627805145</v>
      </c>
      <c r="M521" t="s">
        <v>18</v>
      </c>
    </row>
    <row r="522" spans="1:13" x14ac:dyDescent="0.3">
      <c r="A522" t="s">
        <v>1092</v>
      </c>
      <c r="B522" t="s">
        <v>1093</v>
      </c>
      <c r="C522" t="s">
        <v>44</v>
      </c>
      <c r="D522" t="s">
        <v>706</v>
      </c>
      <c r="E522">
        <v>1999</v>
      </c>
      <c r="F522">
        <v>281</v>
      </c>
      <c r="G522">
        <v>86</v>
      </c>
      <c r="H522">
        <v>1718</v>
      </c>
      <c r="I522" t="s">
        <v>17</v>
      </c>
      <c r="J522">
        <v>2.8</v>
      </c>
      <c r="K522">
        <v>87</v>
      </c>
      <c r="L522">
        <v>0.182</v>
      </c>
      <c r="M522" t="s">
        <v>18</v>
      </c>
    </row>
    <row r="523" spans="1:13" x14ac:dyDescent="0.3">
      <c r="A523" t="s">
        <v>1094</v>
      </c>
      <c r="B523" t="s">
        <v>1095</v>
      </c>
      <c r="C523" t="s">
        <v>44</v>
      </c>
      <c r="D523" t="s">
        <v>716</v>
      </c>
      <c r="E523">
        <v>11999</v>
      </c>
      <c r="F523">
        <v>7998</v>
      </c>
      <c r="G523">
        <v>33</v>
      </c>
      <c r="H523">
        <v>4001</v>
      </c>
      <c r="I523" t="s">
        <v>55</v>
      </c>
      <c r="J523">
        <v>3.8</v>
      </c>
      <c r="K523">
        <v>125</v>
      </c>
      <c r="L523">
        <v>0.43181818181818182</v>
      </c>
      <c r="M523" t="s">
        <v>18</v>
      </c>
    </row>
    <row r="524" spans="1:13" x14ac:dyDescent="0.3">
      <c r="A524" t="s">
        <v>1096</v>
      </c>
      <c r="B524" t="s">
        <v>1097</v>
      </c>
      <c r="C524" t="s">
        <v>44</v>
      </c>
      <c r="D524" t="s">
        <v>706</v>
      </c>
      <c r="E524">
        <v>999</v>
      </c>
      <c r="F524">
        <v>249</v>
      </c>
      <c r="G524">
        <v>75</v>
      </c>
      <c r="H524">
        <v>750</v>
      </c>
      <c r="I524" t="s">
        <v>17</v>
      </c>
      <c r="J524">
        <v>4.5</v>
      </c>
      <c r="K524">
        <v>38</v>
      </c>
      <c r="L524">
        <v>0.4285714285714286</v>
      </c>
      <c r="M524" t="s">
        <v>18</v>
      </c>
    </row>
    <row r="525" spans="1:13" x14ac:dyDescent="0.3">
      <c r="A525" t="s">
        <v>1098</v>
      </c>
      <c r="B525" t="s">
        <v>1099</v>
      </c>
      <c r="C525" t="s">
        <v>44</v>
      </c>
      <c r="D525" t="s">
        <v>918</v>
      </c>
      <c r="E525">
        <v>599</v>
      </c>
      <c r="F525">
        <v>299</v>
      </c>
      <c r="G525">
        <v>50</v>
      </c>
      <c r="H525">
        <v>300</v>
      </c>
      <c r="I525" t="s">
        <v>17</v>
      </c>
      <c r="J525">
        <v>4.3</v>
      </c>
      <c r="K525">
        <v>4674</v>
      </c>
      <c r="L525">
        <v>0.26833333333333331</v>
      </c>
      <c r="M525" t="s">
        <v>18</v>
      </c>
    </row>
    <row r="526" spans="1:13" x14ac:dyDescent="0.3">
      <c r="A526" t="s">
        <v>1100</v>
      </c>
      <c r="B526" t="s">
        <v>1101</v>
      </c>
      <c r="C526" t="s">
        <v>44</v>
      </c>
      <c r="D526" t="s">
        <v>706</v>
      </c>
      <c r="E526">
        <v>1899</v>
      </c>
      <c r="F526">
        <v>499</v>
      </c>
      <c r="G526">
        <v>74</v>
      </c>
      <c r="H526">
        <v>1400</v>
      </c>
      <c r="I526" t="s">
        <v>17</v>
      </c>
      <c r="J526">
        <v>4.0999999999999996</v>
      </c>
      <c r="K526">
        <v>412</v>
      </c>
      <c r="L526">
        <v>0.50555555555555565</v>
      </c>
      <c r="M526" t="s">
        <v>18</v>
      </c>
    </row>
    <row r="527" spans="1:13" x14ac:dyDescent="0.3">
      <c r="A527" t="s">
        <v>1102</v>
      </c>
      <c r="B527" t="s">
        <v>1103</v>
      </c>
      <c r="C527" t="s">
        <v>44</v>
      </c>
      <c r="D527" t="s">
        <v>706</v>
      </c>
      <c r="E527">
        <v>3499</v>
      </c>
      <c r="F527">
        <v>899</v>
      </c>
      <c r="G527">
        <v>74</v>
      </c>
      <c r="H527">
        <v>2600</v>
      </c>
      <c r="I527" t="s">
        <v>64</v>
      </c>
      <c r="J527">
        <v>3</v>
      </c>
      <c r="K527">
        <v>681</v>
      </c>
      <c r="L527">
        <v>0.1024950396825397</v>
      </c>
      <c r="M527" t="s">
        <v>18</v>
      </c>
    </row>
    <row r="528" spans="1:13" x14ac:dyDescent="0.3">
      <c r="A528" t="s">
        <v>1104</v>
      </c>
      <c r="B528" t="s">
        <v>1105</v>
      </c>
      <c r="C528" t="s">
        <v>44</v>
      </c>
      <c r="D528" t="s">
        <v>713</v>
      </c>
      <c r="E528">
        <v>3499</v>
      </c>
      <c r="F528">
        <v>1599</v>
      </c>
      <c r="G528">
        <v>54</v>
      </c>
      <c r="H528">
        <v>1900</v>
      </c>
      <c r="I528" t="s">
        <v>167</v>
      </c>
      <c r="J528">
        <v>4</v>
      </c>
      <c r="K528">
        <v>36384</v>
      </c>
      <c r="L528">
        <v>0.35285714285714281</v>
      </c>
      <c r="M528" t="s">
        <v>18</v>
      </c>
    </row>
    <row r="529" spans="1:13" x14ac:dyDescent="0.3">
      <c r="A529" t="s">
        <v>1106</v>
      </c>
      <c r="B529" t="s">
        <v>1107</v>
      </c>
      <c r="C529" t="s">
        <v>44</v>
      </c>
      <c r="D529" t="s">
        <v>472</v>
      </c>
      <c r="E529">
        <v>999</v>
      </c>
      <c r="F529">
        <v>120</v>
      </c>
      <c r="G529">
        <v>88</v>
      </c>
      <c r="H529">
        <v>879</v>
      </c>
      <c r="I529" t="s">
        <v>17</v>
      </c>
      <c r="J529">
        <v>3.9</v>
      </c>
      <c r="K529">
        <v>6491</v>
      </c>
      <c r="L529">
        <v>0.24803571428571419</v>
      </c>
      <c r="M529" t="s">
        <v>18</v>
      </c>
    </row>
    <row r="530" spans="1:13" x14ac:dyDescent="0.3">
      <c r="A530" t="s">
        <v>1108</v>
      </c>
      <c r="B530" t="s">
        <v>1109</v>
      </c>
      <c r="C530" t="s">
        <v>44</v>
      </c>
      <c r="D530" t="s">
        <v>706</v>
      </c>
      <c r="E530">
        <v>6999</v>
      </c>
      <c r="F530">
        <v>3999</v>
      </c>
      <c r="G530">
        <v>43</v>
      </c>
      <c r="H530">
        <v>3000</v>
      </c>
      <c r="I530" t="s">
        <v>167</v>
      </c>
      <c r="J530">
        <v>4.0999999999999996</v>
      </c>
      <c r="K530">
        <v>10229</v>
      </c>
      <c r="L530">
        <v>0.2094753659039372</v>
      </c>
      <c r="M530" t="s">
        <v>18</v>
      </c>
    </row>
    <row r="531" spans="1:13" x14ac:dyDescent="0.3">
      <c r="A531" t="s">
        <v>1110</v>
      </c>
      <c r="B531" t="s">
        <v>1013</v>
      </c>
      <c r="C531" t="s">
        <v>44</v>
      </c>
      <c r="D531" t="s">
        <v>716</v>
      </c>
      <c r="E531">
        <v>18999</v>
      </c>
      <c r="F531">
        <v>12999</v>
      </c>
      <c r="G531">
        <v>32</v>
      </c>
      <c r="H531">
        <v>6000</v>
      </c>
      <c r="I531" t="s">
        <v>55</v>
      </c>
      <c r="J531">
        <v>4.0999999999999996</v>
      </c>
      <c r="K531">
        <v>50772</v>
      </c>
      <c r="L531">
        <v>0.25200349301397218</v>
      </c>
      <c r="M531" t="s">
        <v>18</v>
      </c>
    </row>
    <row r="532" spans="1:13" x14ac:dyDescent="0.3">
      <c r="A532" t="s">
        <v>1111</v>
      </c>
      <c r="B532" t="s">
        <v>1112</v>
      </c>
      <c r="C532" t="s">
        <v>44</v>
      </c>
      <c r="D532" t="s">
        <v>965</v>
      </c>
      <c r="E532">
        <v>2599</v>
      </c>
      <c r="F532">
        <v>1599</v>
      </c>
      <c r="G532">
        <v>38</v>
      </c>
      <c r="H532">
        <v>1000</v>
      </c>
      <c r="I532" t="s">
        <v>167</v>
      </c>
      <c r="J532">
        <v>4.3</v>
      </c>
      <c r="K532">
        <v>1801</v>
      </c>
      <c r="L532">
        <v>0.1610714285714285</v>
      </c>
      <c r="M532" t="s">
        <v>18</v>
      </c>
    </row>
    <row r="533" spans="1:13" x14ac:dyDescent="0.3">
      <c r="A533" t="s">
        <v>1113</v>
      </c>
      <c r="B533" t="s">
        <v>1114</v>
      </c>
      <c r="C533" t="s">
        <v>44</v>
      </c>
      <c r="D533" t="s">
        <v>762</v>
      </c>
      <c r="E533">
        <v>1199</v>
      </c>
      <c r="F533">
        <v>699</v>
      </c>
      <c r="G533">
        <v>42</v>
      </c>
      <c r="H533">
        <v>500</v>
      </c>
      <c r="I533" t="s">
        <v>64</v>
      </c>
      <c r="J533">
        <v>4</v>
      </c>
      <c r="K533">
        <v>14404</v>
      </c>
      <c r="L533">
        <v>0.34274509803921571</v>
      </c>
      <c r="M533" t="s">
        <v>18</v>
      </c>
    </row>
    <row r="534" spans="1:13" x14ac:dyDescent="0.3">
      <c r="A534" t="s">
        <v>1115</v>
      </c>
      <c r="B534" t="s">
        <v>1116</v>
      </c>
      <c r="C534" t="s">
        <v>44</v>
      </c>
      <c r="D534" t="s">
        <v>1117</v>
      </c>
      <c r="E534">
        <v>999</v>
      </c>
      <c r="F534">
        <v>99</v>
      </c>
      <c r="G534">
        <v>90</v>
      </c>
      <c r="H534">
        <v>900</v>
      </c>
      <c r="I534" t="s">
        <v>17</v>
      </c>
      <c r="J534">
        <v>4.4000000000000004</v>
      </c>
      <c r="K534">
        <v>305</v>
      </c>
      <c r="L534">
        <v>0.24833333333333329</v>
      </c>
      <c r="M534" t="s">
        <v>18</v>
      </c>
    </row>
    <row r="535" spans="1:13" x14ac:dyDescent="0.3">
      <c r="A535" t="s">
        <v>1118</v>
      </c>
      <c r="B535" t="s">
        <v>1119</v>
      </c>
      <c r="C535" t="s">
        <v>44</v>
      </c>
      <c r="D535" t="s">
        <v>716</v>
      </c>
      <c r="E535">
        <v>9999</v>
      </c>
      <c r="F535">
        <v>7915</v>
      </c>
      <c r="G535">
        <v>21</v>
      </c>
      <c r="H535">
        <v>2084</v>
      </c>
      <c r="I535" t="s">
        <v>55</v>
      </c>
      <c r="J535">
        <v>4.3</v>
      </c>
      <c r="K535">
        <v>1376</v>
      </c>
      <c r="L535">
        <v>0.35666666666666669</v>
      </c>
      <c r="M535" t="s">
        <v>18</v>
      </c>
    </row>
    <row r="536" spans="1:13" x14ac:dyDescent="0.3">
      <c r="A536" t="s">
        <v>1120</v>
      </c>
      <c r="B536" t="s">
        <v>1121</v>
      </c>
      <c r="C536" t="s">
        <v>44</v>
      </c>
      <c r="D536" t="s">
        <v>706</v>
      </c>
      <c r="E536">
        <v>7999</v>
      </c>
      <c r="F536">
        <v>1499</v>
      </c>
      <c r="G536">
        <v>81</v>
      </c>
      <c r="H536">
        <v>6500</v>
      </c>
      <c r="I536" t="s">
        <v>64</v>
      </c>
      <c r="J536">
        <v>4.2</v>
      </c>
      <c r="K536">
        <v>22638</v>
      </c>
      <c r="L536">
        <v>0.3772161172161172</v>
      </c>
      <c r="M536" t="s">
        <v>18</v>
      </c>
    </row>
    <row r="537" spans="1:13" x14ac:dyDescent="0.3">
      <c r="A537" t="s">
        <v>1122</v>
      </c>
      <c r="B537" t="s">
        <v>1123</v>
      </c>
      <c r="C537" t="s">
        <v>44</v>
      </c>
      <c r="D537" t="s">
        <v>732</v>
      </c>
      <c r="E537">
        <v>1249</v>
      </c>
      <c r="F537">
        <v>1055</v>
      </c>
      <c r="G537">
        <v>16</v>
      </c>
      <c r="H537">
        <v>194</v>
      </c>
      <c r="I537" t="s">
        <v>64</v>
      </c>
      <c r="J537">
        <v>3.8</v>
      </c>
      <c r="K537">
        <v>2352</v>
      </c>
      <c r="L537">
        <v>0.1633333333333333</v>
      </c>
      <c r="M537" t="s">
        <v>18</v>
      </c>
    </row>
    <row r="538" spans="1:13" x14ac:dyDescent="0.3">
      <c r="A538" t="s">
        <v>1124</v>
      </c>
      <c r="B538" t="s">
        <v>1125</v>
      </c>
      <c r="C538" t="s">
        <v>44</v>
      </c>
      <c r="D538" t="s">
        <v>918</v>
      </c>
      <c r="E538">
        <v>599</v>
      </c>
      <c r="F538">
        <v>150</v>
      </c>
      <c r="G538">
        <v>75</v>
      </c>
      <c r="H538">
        <v>449</v>
      </c>
      <c r="I538" t="s">
        <v>17</v>
      </c>
      <c r="J538">
        <v>4.3</v>
      </c>
      <c r="K538">
        <v>714</v>
      </c>
      <c r="L538">
        <v>0.27106994047619037</v>
      </c>
      <c r="M538" t="s">
        <v>18</v>
      </c>
    </row>
    <row r="539" spans="1:13" x14ac:dyDescent="0.3">
      <c r="A539" t="s">
        <v>1126</v>
      </c>
      <c r="B539" t="s">
        <v>1127</v>
      </c>
      <c r="C539" t="s">
        <v>44</v>
      </c>
      <c r="D539" t="s">
        <v>965</v>
      </c>
      <c r="E539">
        <v>1799</v>
      </c>
      <c r="F539">
        <v>474</v>
      </c>
      <c r="G539">
        <v>74</v>
      </c>
      <c r="H539">
        <v>1325</v>
      </c>
      <c r="I539" t="s">
        <v>17</v>
      </c>
      <c r="J539">
        <v>4.3</v>
      </c>
      <c r="K539">
        <v>1454</v>
      </c>
      <c r="L539">
        <v>0.2784666666666667</v>
      </c>
      <c r="M539" t="s">
        <v>18</v>
      </c>
    </row>
    <row r="540" spans="1:13" x14ac:dyDescent="0.3">
      <c r="A540" t="s">
        <v>1128</v>
      </c>
      <c r="B540" t="s">
        <v>1129</v>
      </c>
      <c r="C540" t="s">
        <v>44</v>
      </c>
      <c r="D540" t="s">
        <v>762</v>
      </c>
      <c r="E540">
        <v>599</v>
      </c>
      <c r="F540">
        <v>239</v>
      </c>
      <c r="G540">
        <v>60</v>
      </c>
      <c r="H540">
        <v>360</v>
      </c>
      <c r="I540" t="s">
        <v>17</v>
      </c>
      <c r="J540">
        <v>3.9</v>
      </c>
      <c r="K540">
        <v>2147</v>
      </c>
      <c r="L540">
        <v>0.33571428571428569</v>
      </c>
      <c r="M540" t="s">
        <v>18</v>
      </c>
    </row>
    <row r="541" spans="1:13" x14ac:dyDescent="0.3">
      <c r="A541" t="s">
        <v>1130</v>
      </c>
      <c r="B541" t="s">
        <v>1131</v>
      </c>
      <c r="C541" t="s">
        <v>44</v>
      </c>
      <c r="D541" t="s">
        <v>716</v>
      </c>
      <c r="E541">
        <v>9499</v>
      </c>
      <c r="F541">
        <v>7499</v>
      </c>
      <c r="G541">
        <v>21</v>
      </c>
      <c r="H541">
        <v>2000</v>
      </c>
      <c r="I541" t="s">
        <v>55</v>
      </c>
      <c r="J541">
        <v>4.0999999999999996</v>
      </c>
      <c r="K541">
        <v>313832</v>
      </c>
      <c r="L541">
        <v>0.21032967032967029</v>
      </c>
      <c r="M541" t="s">
        <v>18</v>
      </c>
    </row>
    <row r="542" spans="1:13" x14ac:dyDescent="0.3">
      <c r="A542" t="s">
        <v>1132</v>
      </c>
      <c r="B542" t="s">
        <v>1133</v>
      </c>
      <c r="C542" t="s">
        <v>44</v>
      </c>
      <c r="D542" t="s">
        <v>706</v>
      </c>
      <c r="E542">
        <v>999</v>
      </c>
      <c r="F542">
        <v>265</v>
      </c>
      <c r="G542">
        <v>73</v>
      </c>
      <c r="H542">
        <v>734</v>
      </c>
      <c r="I542" t="s">
        <v>17</v>
      </c>
      <c r="J542">
        <v>3.7</v>
      </c>
      <c r="K542">
        <v>465</v>
      </c>
      <c r="L542">
        <v>0.24962962962962959</v>
      </c>
      <c r="M542" t="s">
        <v>18</v>
      </c>
    </row>
    <row r="543" spans="1:13" x14ac:dyDescent="0.3">
      <c r="A543" t="s">
        <v>1134</v>
      </c>
      <c r="B543" t="s">
        <v>1135</v>
      </c>
      <c r="C543" t="s">
        <v>44</v>
      </c>
      <c r="D543" t="s">
        <v>716</v>
      </c>
      <c r="E543">
        <v>74999</v>
      </c>
      <c r="F543">
        <v>37990</v>
      </c>
      <c r="G543">
        <v>49</v>
      </c>
      <c r="H543">
        <v>37009</v>
      </c>
      <c r="I543" t="s">
        <v>102</v>
      </c>
      <c r="J543">
        <v>4.2</v>
      </c>
      <c r="K543">
        <v>27790</v>
      </c>
      <c r="L543">
        <v>0.22083533632410041</v>
      </c>
      <c r="M543" t="s">
        <v>18</v>
      </c>
    </row>
    <row r="544" spans="1:13" x14ac:dyDescent="0.3">
      <c r="A544" t="s">
        <v>1136</v>
      </c>
      <c r="B544" t="s">
        <v>1137</v>
      </c>
      <c r="C544" t="s">
        <v>44</v>
      </c>
      <c r="D544" t="s">
        <v>826</v>
      </c>
      <c r="E544">
        <v>3999</v>
      </c>
      <c r="F544">
        <v>1799</v>
      </c>
      <c r="G544">
        <v>55</v>
      </c>
      <c r="H544">
        <v>2200</v>
      </c>
      <c r="I544" t="s">
        <v>167</v>
      </c>
      <c r="J544">
        <v>4.5999999999999996</v>
      </c>
      <c r="K544">
        <v>245</v>
      </c>
      <c r="L544">
        <v>0.55057040998217466</v>
      </c>
      <c r="M544" t="s">
        <v>18</v>
      </c>
    </row>
    <row r="545" spans="1:13" x14ac:dyDescent="0.3">
      <c r="A545" t="s">
        <v>1138</v>
      </c>
      <c r="B545" t="s">
        <v>1139</v>
      </c>
      <c r="C545" t="s">
        <v>44</v>
      </c>
      <c r="D545" t="s">
        <v>716</v>
      </c>
      <c r="E545">
        <v>11999</v>
      </c>
      <c r="F545">
        <v>8499</v>
      </c>
      <c r="G545">
        <v>29</v>
      </c>
      <c r="H545">
        <v>3500</v>
      </c>
      <c r="I545" t="s">
        <v>55</v>
      </c>
      <c r="J545">
        <v>3.9</v>
      </c>
      <c r="K545">
        <v>276</v>
      </c>
      <c r="L545">
        <v>0.04</v>
      </c>
      <c r="M545" t="s">
        <v>103</v>
      </c>
    </row>
    <row r="546" spans="1:13" x14ac:dyDescent="0.3">
      <c r="A546" t="s">
        <v>1140</v>
      </c>
      <c r="B546" t="s">
        <v>1141</v>
      </c>
      <c r="C546" t="s">
        <v>44</v>
      </c>
      <c r="D546" t="s">
        <v>706</v>
      </c>
      <c r="E546">
        <v>3999</v>
      </c>
      <c r="F546">
        <v>1999</v>
      </c>
      <c r="G546">
        <v>50</v>
      </c>
      <c r="H546">
        <v>2000</v>
      </c>
      <c r="I546" t="s">
        <v>167</v>
      </c>
      <c r="J546">
        <v>4</v>
      </c>
      <c r="K546">
        <v>30254</v>
      </c>
      <c r="L546">
        <v>0.25285714285714289</v>
      </c>
      <c r="M546" t="s">
        <v>18</v>
      </c>
    </row>
    <row r="547" spans="1:13" x14ac:dyDescent="0.3">
      <c r="A547" t="s">
        <v>1142</v>
      </c>
      <c r="B547" t="s">
        <v>792</v>
      </c>
      <c r="C547" t="s">
        <v>44</v>
      </c>
      <c r="D547" t="s">
        <v>706</v>
      </c>
      <c r="E547">
        <v>17999</v>
      </c>
      <c r="F547">
        <v>3999</v>
      </c>
      <c r="G547">
        <v>78</v>
      </c>
      <c r="H547">
        <v>14000</v>
      </c>
      <c r="I547" t="s">
        <v>167</v>
      </c>
      <c r="J547">
        <v>4.3</v>
      </c>
      <c r="K547">
        <v>17161</v>
      </c>
      <c r="L547">
        <v>0.30718901757964262</v>
      </c>
      <c r="M547" t="s">
        <v>18</v>
      </c>
    </row>
    <row r="548" spans="1:13" x14ac:dyDescent="0.3">
      <c r="A548" t="s">
        <v>1143</v>
      </c>
      <c r="B548" t="s">
        <v>1144</v>
      </c>
      <c r="C548" t="s">
        <v>44</v>
      </c>
      <c r="D548" t="s">
        <v>762</v>
      </c>
      <c r="E548">
        <v>499</v>
      </c>
      <c r="F548">
        <v>219</v>
      </c>
      <c r="G548">
        <v>56</v>
      </c>
      <c r="H548">
        <v>280</v>
      </c>
      <c r="I548" t="s">
        <v>17</v>
      </c>
      <c r="J548">
        <v>4.4000000000000004</v>
      </c>
      <c r="K548">
        <v>14</v>
      </c>
      <c r="L548">
        <v>0.33333333333333331</v>
      </c>
      <c r="M548" t="s">
        <v>18</v>
      </c>
    </row>
    <row r="549" spans="1:13" x14ac:dyDescent="0.3">
      <c r="A549" t="s">
        <v>1145</v>
      </c>
      <c r="B549" t="s">
        <v>1146</v>
      </c>
      <c r="C549" t="s">
        <v>44</v>
      </c>
      <c r="D549" t="s">
        <v>826</v>
      </c>
      <c r="E549">
        <v>1399</v>
      </c>
      <c r="F549">
        <v>599</v>
      </c>
      <c r="G549">
        <v>57</v>
      </c>
      <c r="H549">
        <v>800</v>
      </c>
      <c r="I549" t="s">
        <v>64</v>
      </c>
      <c r="J549">
        <v>4.0999999999999996</v>
      </c>
      <c r="K549">
        <v>14560</v>
      </c>
      <c r="L549">
        <v>0.21431159420289861</v>
      </c>
      <c r="M549" t="s">
        <v>18</v>
      </c>
    </row>
    <row r="550" spans="1:13" x14ac:dyDescent="0.3">
      <c r="A550" t="s">
        <v>1147</v>
      </c>
      <c r="B550" t="s">
        <v>1148</v>
      </c>
      <c r="C550" t="s">
        <v>44</v>
      </c>
      <c r="D550" t="s">
        <v>713</v>
      </c>
      <c r="E550">
        <v>2999</v>
      </c>
      <c r="F550">
        <v>2499</v>
      </c>
      <c r="G550">
        <v>17</v>
      </c>
      <c r="H550">
        <v>500</v>
      </c>
      <c r="I550" t="s">
        <v>167</v>
      </c>
      <c r="J550">
        <v>4.0999999999999996</v>
      </c>
      <c r="K550">
        <v>3156</v>
      </c>
      <c r="L550">
        <v>7.4975369458127994E-2</v>
      </c>
      <c r="M550" t="s">
        <v>103</v>
      </c>
    </row>
    <row r="551" spans="1:13" x14ac:dyDescent="0.3">
      <c r="A551" t="s">
        <v>1149</v>
      </c>
      <c r="B551" t="s">
        <v>1150</v>
      </c>
      <c r="C551" t="s">
        <v>44</v>
      </c>
      <c r="D551" t="s">
        <v>1151</v>
      </c>
      <c r="E551">
        <v>499</v>
      </c>
      <c r="F551">
        <v>89</v>
      </c>
      <c r="G551">
        <v>82</v>
      </c>
      <c r="H551">
        <v>410</v>
      </c>
      <c r="I551" t="s">
        <v>17</v>
      </c>
      <c r="J551">
        <v>4.0999999999999996</v>
      </c>
      <c r="K551">
        <v>9340</v>
      </c>
      <c r="L551">
        <v>0.24839285714285711</v>
      </c>
      <c r="M551" t="s">
        <v>18</v>
      </c>
    </row>
    <row r="552" spans="1:13" x14ac:dyDescent="0.3">
      <c r="A552" t="s">
        <v>1152</v>
      </c>
      <c r="B552" t="s">
        <v>1153</v>
      </c>
      <c r="C552" t="s">
        <v>44</v>
      </c>
      <c r="D552" t="s">
        <v>706</v>
      </c>
      <c r="E552">
        <v>11999</v>
      </c>
      <c r="F552">
        <v>2999</v>
      </c>
      <c r="G552">
        <v>75</v>
      </c>
      <c r="H552">
        <v>9000</v>
      </c>
      <c r="I552" t="s">
        <v>167</v>
      </c>
      <c r="J552">
        <v>4.4000000000000004</v>
      </c>
      <c r="K552">
        <v>768</v>
      </c>
      <c r="L552">
        <v>0.1852380952380952</v>
      </c>
      <c r="M552" t="s">
        <v>18</v>
      </c>
    </row>
    <row r="553" spans="1:13" x14ac:dyDescent="0.3">
      <c r="A553" t="s">
        <v>1154</v>
      </c>
      <c r="B553" t="s">
        <v>1155</v>
      </c>
      <c r="C553" t="s">
        <v>44</v>
      </c>
      <c r="D553" t="s">
        <v>841</v>
      </c>
      <c r="E553">
        <v>1499</v>
      </c>
      <c r="F553">
        <v>314</v>
      </c>
      <c r="G553">
        <v>79</v>
      </c>
      <c r="H553">
        <v>1185</v>
      </c>
      <c r="I553" t="s">
        <v>17</v>
      </c>
      <c r="J553">
        <v>4.5</v>
      </c>
      <c r="K553">
        <v>28978</v>
      </c>
      <c r="L553">
        <v>0.37321428571428578</v>
      </c>
      <c r="M553" t="s">
        <v>18</v>
      </c>
    </row>
    <row r="554" spans="1:13" x14ac:dyDescent="0.3">
      <c r="A554" t="s">
        <v>1156</v>
      </c>
      <c r="B554" t="s">
        <v>1157</v>
      </c>
      <c r="C554" t="s">
        <v>44</v>
      </c>
      <c r="D554" t="s">
        <v>716</v>
      </c>
      <c r="E554">
        <v>19499</v>
      </c>
      <c r="F554">
        <v>13999</v>
      </c>
      <c r="G554">
        <v>28</v>
      </c>
      <c r="H554">
        <v>5500</v>
      </c>
      <c r="I554" t="s">
        <v>55</v>
      </c>
      <c r="J554">
        <v>4.0999999999999996</v>
      </c>
      <c r="K554">
        <v>18998</v>
      </c>
      <c r="L554">
        <v>0.213969494047619</v>
      </c>
      <c r="M554" t="s">
        <v>18</v>
      </c>
    </row>
    <row r="555" spans="1:13" x14ac:dyDescent="0.3">
      <c r="A555" t="s">
        <v>1158</v>
      </c>
      <c r="B555" t="s">
        <v>1159</v>
      </c>
      <c r="C555" t="s">
        <v>44</v>
      </c>
      <c r="D555" t="s">
        <v>790</v>
      </c>
      <c r="E555">
        <v>499</v>
      </c>
      <c r="F555">
        <v>139</v>
      </c>
      <c r="G555">
        <v>72</v>
      </c>
      <c r="H555">
        <v>360</v>
      </c>
      <c r="I555" t="s">
        <v>17</v>
      </c>
      <c r="J555">
        <v>4.2</v>
      </c>
      <c r="K555">
        <v>4971</v>
      </c>
      <c r="L555">
        <v>0.16272619047619041</v>
      </c>
      <c r="M555" t="s">
        <v>18</v>
      </c>
    </row>
    <row r="556" spans="1:13" x14ac:dyDescent="0.3">
      <c r="A556" t="s">
        <v>1160</v>
      </c>
      <c r="B556" t="s">
        <v>1161</v>
      </c>
      <c r="C556" t="s">
        <v>44</v>
      </c>
      <c r="D556" t="s">
        <v>941</v>
      </c>
      <c r="E556">
        <v>6999</v>
      </c>
      <c r="F556">
        <v>2599</v>
      </c>
      <c r="G556">
        <v>63</v>
      </c>
      <c r="H556">
        <v>4400</v>
      </c>
      <c r="I556" t="s">
        <v>167</v>
      </c>
      <c r="J556">
        <v>4.5</v>
      </c>
      <c r="K556">
        <v>1526</v>
      </c>
      <c r="L556">
        <v>0.40549242424242421</v>
      </c>
      <c r="M556" t="s">
        <v>18</v>
      </c>
    </row>
    <row r="557" spans="1:13" x14ac:dyDescent="0.3">
      <c r="A557" t="s">
        <v>1162</v>
      </c>
      <c r="B557" t="s">
        <v>1163</v>
      </c>
      <c r="C557" t="s">
        <v>44</v>
      </c>
      <c r="D557" t="s">
        <v>737</v>
      </c>
      <c r="E557">
        <v>999</v>
      </c>
      <c r="F557">
        <v>365</v>
      </c>
      <c r="G557">
        <v>63</v>
      </c>
      <c r="H557">
        <v>634</v>
      </c>
      <c r="I557" t="s">
        <v>17</v>
      </c>
      <c r="J557">
        <v>4.0999999999999996</v>
      </c>
      <c r="K557">
        <v>363711</v>
      </c>
      <c r="L557">
        <v>0.22971014492753619</v>
      </c>
      <c r="M557" t="s">
        <v>18</v>
      </c>
    </row>
    <row r="558" spans="1:13" x14ac:dyDescent="0.3">
      <c r="A558" t="s">
        <v>1164</v>
      </c>
      <c r="B558" t="s">
        <v>1165</v>
      </c>
      <c r="C558" t="s">
        <v>44</v>
      </c>
      <c r="D558" t="s">
        <v>737</v>
      </c>
      <c r="E558">
        <v>4490</v>
      </c>
      <c r="F558">
        <v>1499</v>
      </c>
      <c r="G558">
        <v>67</v>
      </c>
      <c r="H558">
        <v>2991</v>
      </c>
      <c r="I558" t="s">
        <v>64</v>
      </c>
      <c r="J558">
        <v>3.9</v>
      </c>
      <c r="K558">
        <v>136954</v>
      </c>
      <c r="L558">
        <v>0.22629705215419491</v>
      </c>
      <c r="M558" t="s">
        <v>18</v>
      </c>
    </row>
    <row r="559" spans="1:13" x14ac:dyDescent="0.3">
      <c r="A559" t="s">
        <v>1166</v>
      </c>
      <c r="B559" t="s">
        <v>1167</v>
      </c>
      <c r="C559" t="s">
        <v>15</v>
      </c>
      <c r="D559" t="s">
        <v>1168</v>
      </c>
      <c r="E559">
        <v>650</v>
      </c>
      <c r="F559">
        <v>289</v>
      </c>
      <c r="G559">
        <v>56</v>
      </c>
      <c r="H559">
        <v>361</v>
      </c>
      <c r="I559" t="s">
        <v>17</v>
      </c>
      <c r="J559">
        <v>4.3</v>
      </c>
      <c r="K559">
        <v>253105</v>
      </c>
      <c r="L559">
        <v>0.38</v>
      </c>
      <c r="M559" t="s">
        <v>18</v>
      </c>
    </row>
    <row r="560" spans="1:13" x14ac:dyDescent="0.3">
      <c r="A560" t="s">
        <v>1169</v>
      </c>
      <c r="B560" t="s">
        <v>1170</v>
      </c>
      <c r="C560" t="s">
        <v>15</v>
      </c>
      <c r="D560" t="s">
        <v>1171</v>
      </c>
      <c r="E560">
        <v>895</v>
      </c>
      <c r="F560">
        <v>599</v>
      </c>
      <c r="G560">
        <v>33</v>
      </c>
      <c r="H560">
        <v>296</v>
      </c>
      <c r="I560" t="s">
        <v>64</v>
      </c>
      <c r="J560">
        <v>4.4000000000000004</v>
      </c>
      <c r="K560">
        <v>61314</v>
      </c>
      <c r="L560">
        <v>0.22355180533751939</v>
      </c>
      <c r="M560" t="s">
        <v>18</v>
      </c>
    </row>
    <row r="561" spans="1:13" x14ac:dyDescent="0.3">
      <c r="A561" t="s">
        <v>1172</v>
      </c>
      <c r="B561" t="s">
        <v>1173</v>
      </c>
      <c r="C561" t="s">
        <v>15</v>
      </c>
      <c r="D561" t="s">
        <v>1174</v>
      </c>
      <c r="E561">
        <v>237</v>
      </c>
      <c r="F561">
        <v>217</v>
      </c>
      <c r="G561">
        <v>8</v>
      </c>
      <c r="H561">
        <v>20</v>
      </c>
      <c r="I561" t="s">
        <v>17</v>
      </c>
      <c r="J561">
        <v>3.8</v>
      </c>
      <c r="K561">
        <v>7354</v>
      </c>
      <c r="L561">
        <v>0.36705882352941172</v>
      </c>
      <c r="M561" t="s">
        <v>18</v>
      </c>
    </row>
    <row r="562" spans="1:13" x14ac:dyDescent="0.3">
      <c r="A562" t="s">
        <v>1175</v>
      </c>
      <c r="B562" t="s">
        <v>1176</v>
      </c>
      <c r="C562" t="s">
        <v>44</v>
      </c>
      <c r="D562" t="s">
        <v>737</v>
      </c>
      <c r="E562">
        <v>2990</v>
      </c>
      <c r="F562">
        <v>1299</v>
      </c>
      <c r="G562">
        <v>57</v>
      </c>
      <c r="H562">
        <v>1691</v>
      </c>
      <c r="I562" t="s">
        <v>64</v>
      </c>
      <c r="J562">
        <v>3.8</v>
      </c>
      <c r="K562">
        <v>180998</v>
      </c>
      <c r="L562">
        <v>0.21314126486540269</v>
      </c>
      <c r="M562" t="s">
        <v>18</v>
      </c>
    </row>
    <row r="563" spans="1:13" x14ac:dyDescent="0.3">
      <c r="A563" t="s">
        <v>1177</v>
      </c>
      <c r="B563" t="s">
        <v>1178</v>
      </c>
      <c r="C563" t="s">
        <v>15</v>
      </c>
      <c r="D563" t="s">
        <v>1179</v>
      </c>
      <c r="E563">
        <v>699</v>
      </c>
      <c r="F563">
        <v>263</v>
      </c>
      <c r="G563">
        <v>62</v>
      </c>
      <c r="H563">
        <v>436</v>
      </c>
      <c r="I563" t="s">
        <v>17</v>
      </c>
      <c r="J563">
        <v>3.5</v>
      </c>
      <c r="K563">
        <v>690</v>
      </c>
      <c r="L563">
        <v>0.31624999999999998</v>
      </c>
      <c r="M563" t="s">
        <v>18</v>
      </c>
    </row>
    <row r="564" spans="1:13" x14ac:dyDescent="0.3">
      <c r="A564" t="s">
        <v>1180</v>
      </c>
      <c r="B564" t="s">
        <v>1181</v>
      </c>
      <c r="C564" t="s">
        <v>44</v>
      </c>
      <c r="D564" t="s">
        <v>737</v>
      </c>
      <c r="E564">
        <v>3990</v>
      </c>
      <c r="F564">
        <v>1399</v>
      </c>
      <c r="G564">
        <v>65</v>
      </c>
      <c r="H564">
        <v>2591</v>
      </c>
      <c r="I564" t="s">
        <v>64</v>
      </c>
      <c r="J564">
        <v>4.0999999999999996</v>
      </c>
      <c r="K564">
        <v>141841</v>
      </c>
      <c r="L564">
        <v>0.24263333333333331</v>
      </c>
      <c r="M564" t="s">
        <v>18</v>
      </c>
    </row>
    <row r="565" spans="1:13" x14ac:dyDescent="0.3">
      <c r="A565" t="s">
        <v>1182</v>
      </c>
      <c r="B565" t="s">
        <v>1183</v>
      </c>
      <c r="C565" t="s">
        <v>15</v>
      </c>
      <c r="D565" t="s">
        <v>1184</v>
      </c>
      <c r="E565">
        <v>1499</v>
      </c>
      <c r="F565">
        <v>349</v>
      </c>
      <c r="G565">
        <v>77</v>
      </c>
      <c r="H565">
        <v>1150</v>
      </c>
      <c r="I565" t="s">
        <v>17</v>
      </c>
      <c r="J565">
        <v>4.3</v>
      </c>
      <c r="K565">
        <v>24791</v>
      </c>
      <c r="L565">
        <v>0.1354166666666666</v>
      </c>
      <c r="M565" t="s">
        <v>18</v>
      </c>
    </row>
    <row r="566" spans="1:13" x14ac:dyDescent="0.3">
      <c r="A566" t="s">
        <v>1185</v>
      </c>
      <c r="B566" t="s">
        <v>1186</v>
      </c>
      <c r="C566" t="s">
        <v>44</v>
      </c>
      <c r="D566" t="s">
        <v>737</v>
      </c>
      <c r="E566">
        <v>399</v>
      </c>
      <c r="F566">
        <v>149</v>
      </c>
      <c r="G566">
        <v>63</v>
      </c>
      <c r="H566">
        <v>250</v>
      </c>
      <c r="I566" t="s">
        <v>17</v>
      </c>
      <c r="J566">
        <v>3.5</v>
      </c>
      <c r="K566">
        <v>21764</v>
      </c>
      <c r="L566">
        <v>0.26347826086956522</v>
      </c>
      <c r="M566" t="s">
        <v>18</v>
      </c>
    </row>
    <row r="567" spans="1:13" x14ac:dyDescent="0.3">
      <c r="A567" t="s">
        <v>1187</v>
      </c>
      <c r="B567" t="s">
        <v>1188</v>
      </c>
      <c r="C567" t="s">
        <v>44</v>
      </c>
      <c r="D567" t="s">
        <v>1076</v>
      </c>
      <c r="E567">
        <v>3990</v>
      </c>
      <c r="F567">
        <v>1220</v>
      </c>
      <c r="G567">
        <v>69</v>
      </c>
      <c r="H567">
        <v>2770</v>
      </c>
      <c r="I567" t="s">
        <v>64</v>
      </c>
      <c r="J567">
        <v>4.0999999999999996</v>
      </c>
      <c r="K567">
        <v>107151</v>
      </c>
      <c r="L567">
        <v>0.4122222222222221</v>
      </c>
      <c r="M567" t="s">
        <v>18</v>
      </c>
    </row>
    <row r="568" spans="1:13" x14ac:dyDescent="0.3">
      <c r="A568" t="s">
        <v>1189</v>
      </c>
      <c r="B568" t="s">
        <v>1190</v>
      </c>
      <c r="C568" t="s">
        <v>44</v>
      </c>
      <c r="D568" t="s">
        <v>737</v>
      </c>
      <c r="E568">
        <v>999</v>
      </c>
      <c r="F568">
        <v>499</v>
      </c>
      <c r="G568">
        <v>50</v>
      </c>
      <c r="H568">
        <v>500</v>
      </c>
      <c r="I568" t="s">
        <v>17</v>
      </c>
      <c r="J568">
        <v>3.9</v>
      </c>
      <c r="K568">
        <v>92995</v>
      </c>
      <c r="L568">
        <v>0.32855275443510729</v>
      </c>
      <c r="M568" t="s">
        <v>18</v>
      </c>
    </row>
    <row r="569" spans="1:13" x14ac:dyDescent="0.3">
      <c r="A569" t="s">
        <v>1191</v>
      </c>
      <c r="B569" t="s">
        <v>1192</v>
      </c>
      <c r="C569" t="s">
        <v>15</v>
      </c>
      <c r="D569" t="s">
        <v>848</v>
      </c>
      <c r="E569">
        <v>999</v>
      </c>
      <c r="F569">
        <v>99</v>
      </c>
      <c r="G569">
        <v>90</v>
      </c>
      <c r="H569">
        <v>900</v>
      </c>
      <c r="I569" t="s">
        <v>17</v>
      </c>
      <c r="J569">
        <v>4.0999999999999996</v>
      </c>
      <c r="K569">
        <v>8751</v>
      </c>
      <c r="L569">
        <v>6.6538461538461505E-2</v>
      </c>
      <c r="M569" t="s">
        <v>103</v>
      </c>
    </row>
    <row r="570" spans="1:13" x14ac:dyDescent="0.3">
      <c r="A570" t="s">
        <v>1193</v>
      </c>
      <c r="B570" t="s">
        <v>1194</v>
      </c>
      <c r="C570" t="s">
        <v>15</v>
      </c>
      <c r="D570" t="s">
        <v>1168</v>
      </c>
      <c r="E570">
        <v>1500</v>
      </c>
      <c r="F570">
        <v>475</v>
      </c>
      <c r="G570">
        <v>68</v>
      </c>
      <c r="H570">
        <v>1025</v>
      </c>
      <c r="I570" t="s">
        <v>17</v>
      </c>
      <c r="J570">
        <v>4.2</v>
      </c>
      <c r="K570">
        <v>64273</v>
      </c>
      <c r="L570">
        <v>0.17115359421280471</v>
      </c>
      <c r="M570" t="s">
        <v>18</v>
      </c>
    </row>
    <row r="571" spans="1:13" x14ac:dyDescent="0.3">
      <c r="A571" t="s">
        <v>1195</v>
      </c>
      <c r="B571" t="s">
        <v>1196</v>
      </c>
      <c r="C571" t="s">
        <v>15</v>
      </c>
      <c r="D571" t="s">
        <v>1171</v>
      </c>
      <c r="E571">
        <v>649</v>
      </c>
      <c r="F571">
        <v>269</v>
      </c>
      <c r="G571">
        <v>59</v>
      </c>
      <c r="H571">
        <v>380</v>
      </c>
      <c r="I571" t="s">
        <v>17</v>
      </c>
      <c r="J571">
        <v>4.3</v>
      </c>
      <c r="K571">
        <v>54315</v>
      </c>
      <c r="L571">
        <v>0.28199074074074071</v>
      </c>
      <c r="M571" t="s">
        <v>18</v>
      </c>
    </row>
    <row r="572" spans="1:13" x14ac:dyDescent="0.3">
      <c r="A572" t="s">
        <v>1197</v>
      </c>
      <c r="B572" t="s">
        <v>1198</v>
      </c>
      <c r="C572" t="s">
        <v>15</v>
      </c>
      <c r="D572" t="s">
        <v>1171</v>
      </c>
      <c r="E572">
        <v>599</v>
      </c>
      <c r="F572">
        <v>299</v>
      </c>
      <c r="G572">
        <v>50</v>
      </c>
      <c r="H572">
        <v>300</v>
      </c>
      <c r="I572" t="s">
        <v>17</v>
      </c>
      <c r="J572">
        <v>4.0999999999999996</v>
      </c>
      <c r="K572">
        <v>1597</v>
      </c>
      <c r="L572">
        <v>0.32103333333333328</v>
      </c>
      <c r="M572" t="s">
        <v>18</v>
      </c>
    </row>
    <row r="573" spans="1:13" x14ac:dyDescent="0.3">
      <c r="A573" t="s">
        <v>1199</v>
      </c>
      <c r="B573" t="s">
        <v>1200</v>
      </c>
      <c r="C573" t="s">
        <v>44</v>
      </c>
      <c r="D573" t="s">
        <v>737</v>
      </c>
      <c r="E573">
        <v>999</v>
      </c>
      <c r="F573">
        <v>329</v>
      </c>
      <c r="G573">
        <v>67</v>
      </c>
      <c r="H573">
        <v>670</v>
      </c>
      <c r="I573" t="s">
        <v>17</v>
      </c>
      <c r="J573">
        <v>3.9</v>
      </c>
      <c r="K573">
        <v>77027</v>
      </c>
      <c r="L573">
        <v>0.2482196969696969</v>
      </c>
      <c r="M573" t="s">
        <v>18</v>
      </c>
    </row>
    <row r="574" spans="1:13" x14ac:dyDescent="0.3">
      <c r="A574" t="s">
        <v>1201</v>
      </c>
      <c r="B574" t="s">
        <v>1202</v>
      </c>
      <c r="C574" t="s">
        <v>15</v>
      </c>
      <c r="D574" t="s">
        <v>1203</v>
      </c>
      <c r="E574">
        <v>1799</v>
      </c>
      <c r="F574">
        <v>549</v>
      </c>
      <c r="G574">
        <v>69</v>
      </c>
      <c r="H574">
        <v>1250</v>
      </c>
      <c r="I574" t="s">
        <v>64</v>
      </c>
      <c r="J574">
        <v>4.3</v>
      </c>
      <c r="K574">
        <v>28829</v>
      </c>
      <c r="L574">
        <v>0.2416666666666667</v>
      </c>
      <c r="M574" t="s">
        <v>18</v>
      </c>
    </row>
    <row r="575" spans="1:13" x14ac:dyDescent="0.3">
      <c r="A575" t="s">
        <v>1204</v>
      </c>
      <c r="B575" t="s">
        <v>1205</v>
      </c>
      <c r="C575" t="s">
        <v>15</v>
      </c>
      <c r="D575" t="s">
        <v>1171</v>
      </c>
      <c r="E575">
        <v>650</v>
      </c>
      <c r="F575">
        <v>299</v>
      </c>
      <c r="G575">
        <v>54</v>
      </c>
      <c r="H575">
        <v>351</v>
      </c>
      <c r="I575" t="s">
        <v>17</v>
      </c>
      <c r="J575">
        <v>4.5</v>
      </c>
      <c r="K575">
        <v>33176</v>
      </c>
      <c r="L575">
        <v>0.2208333333333333</v>
      </c>
      <c r="M575" t="s">
        <v>18</v>
      </c>
    </row>
    <row r="576" spans="1:13" x14ac:dyDescent="0.3">
      <c r="A576" t="s">
        <v>1206</v>
      </c>
      <c r="B576" t="s">
        <v>1207</v>
      </c>
      <c r="C576" t="s">
        <v>1208</v>
      </c>
      <c r="D576" t="s">
        <v>1209</v>
      </c>
      <c r="E576">
        <v>1995</v>
      </c>
      <c r="F576">
        <v>798</v>
      </c>
      <c r="G576">
        <v>60</v>
      </c>
      <c r="H576">
        <v>1197</v>
      </c>
      <c r="I576" t="s">
        <v>64</v>
      </c>
      <c r="J576">
        <v>4</v>
      </c>
      <c r="K576">
        <v>68664</v>
      </c>
      <c r="L576">
        <v>0.2021621773288439</v>
      </c>
      <c r="M576" t="s">
        <v>18</v>
      </c>
    </row>
    <row r="577" spans="1:13" x14ac:dyDescent="0.3">
      <c r="A577" t="s">
        <v>1210</v>
      </c>
      <c r="B577" t="s">
        <v>1211</v>
      </c>
      <c r="C577" t="s">
        <v>44</v>
      </c>
      <c r="D577" t="s">
        <v>1212</v>
      </c>
      <c r="E577">
        <v>315</v>
      </c>
      <c r="F577">
        <v>266</v>
      </c>
      <c r="G577">
        <v>16</v>
      </c>
      <c r="H577">
        <v>49</v>
      </c>
      <c r="I577" t="s">
        <v>17</v>
      </c>
      <c r="J577">
        <v>4.5</v>
      </c>
      <c r="K577">
        <v>28030</v>
      </c>
      <c r="L577">
        <v>0.55000000000000004</v>
      </c>
      <c r="M577" t="s">
        <v>18</v>
      </c>
    </row>
    <row r="578" spans="1:13" x14ac:dyDescent="0.3">
      <c r="A578" t="s">
        <v>1213</v>
      </c>
      <c r="B578" t="s">
        <v>1214</v>
      </c>
      <c r="C578" t="s">
        <v>1215</v>
      </c>
      <c r="D578" t="s">
        <v>1216</v>
      </c>
      <c r="E578">
        <v>50</v>
      </c>
      <c r="F578">
        <v>50</v>
      </c>
      <c r="G578">
        <v>0</v>
      </c>
      <c r="H578">
        <v>0</v>
      </c>
      <c r="I578" t="s">
        <v>17</v>
      </c>
      <c r="J578">
        <v>4.3</v>
      </c>
      <c r="K578">
        <v>5792</v>
      </c>
      <c r="L578">
        <v>0.56000000000000005</v>
      </c>
      <c r="M578" t="s">
        <v>18</v>
      </c>
    </row>
    <row r="579" spans="1:13" x14ac:dyDescent="0.3">
      <c r="A579" t="s">
        <v>1217</v>
      </c>
      <c r="B579" t="s">
        <v>1218</v>
      </c>
      <c r="C579" t="s">
        <v>1219</v>
      </c>
      <c r="D579" t="s">
        <v>1220</v>
      </c>
      <c r="E579">
        <v>165</v>
      </c>
      <c r="F579">
        <v>130</v>
      </c>
      <c r="G579">
        <v>21</v>
      </c>
      <c r="H579">
        <v>35</v>
      </c>
      <c r="I579" t="s">
        <v>17</v>
      </c>
      <c r="J579">
        <v>3.9</v>
      </c>
      <c r="K579">
        <v>14778</v>
      </c>
      <c r="L579">
        <v>0.58199999999999996</v>
      </c>
      <c r="M579" t="s">
        <v>18</v>
      </c>
    </row>
    <row r="580" spans="1:13" x14ac:dyDescent="0.3">
      <c r="A580" t="s">
        <v>1221</v>
      </c>
      <c r="B580" t="s">
        <v>1222</v>
      </c>
      <c r="C580" t="s">
        <v>44</v>
      </c>
      <c r="D580" t="s">
        <v>737</v>
      </c>
      <c r="E580">
        <v>1290</v>
      </c>
      <c r="F580">
        <v>449</v>
      </c>
      <c r="G580">
        <v>65</v>
      </c>
      <c r="H580">
        <v>841</v>
      </c>
      <c r="I580" t="s">
        <v>17</v>
      </c>
      <c r="J580">
        <v>4.0999999999999996</v>
      </c>
      <c r="K580">
        <v>91770</v>
      </c>
      <c r="L580">
        <v>0.1394217940529415</v>
      </c>
      <c r="M580" t="s">
        <v>18</v>
      </c>
    </row>
    <row r="581" spans="1:13" x14ac:dyDescent="0.3">
      <c r="A581" t="s">
        <v>1223</v>
      </c>
      <c r="B581" t="s">
        <v>1224</v>
      </c>
      <c r="C581" t="s">
        <v>44</v>
      </c>
      <c r="D581" t="s">
        <v>737</v>
      </c>
      <c r="E581">
        <v>1290</v>
      </c>
      <c r="F581">
        <v>399</v>
      </c>
      <c r="G581">
        <v>69</v>
      </c>
      <c r="H581">
        <v>891</v>
      </c>
      <c r="I581" t="s">
        <v>17</v>
      </c>
      <c r="J581">
        <v>4.2</v>
      </c>
      <c r="K581">
        <v>206</v>
      </c>
      <c r="L581">
        <v>0.32417366946778708</v>
      </c>
      <c r="M581" t="s">
        <v>18</v>
      </c>
    </row>
    <row r="582" spans="1:13" x14ac:dyDescent="0.3">
      <c r="A582" t="s">
        <v>1225</v>
      </c>
      <c r="B582" t="s">
        <v>1226</v>
      </c>
      <c r="C582" t="s">
        <v>15</v>
      </c>
      <c r="D582" t="s">
        <v>1227</v>
      </c>
      <c r="E582">
        <v>2498</v>
      </c>
      <c r="F582">
        <v>1399</v>
      </c>
      <c r="G582">
        <v>44</v>
      </c>
      <c r="H582">
        <v>1099</v>
      </c>
      <c r="I582" t="s">
        <v>64</v>
      </c>
      <c r="J582">
        <v>4.2</v>
      </c>
      <c r="K582">
        <v>33717</v>
      </c>
      <c r="L582">
        <v>0.2383225108225108</v>
      </c>
      <c r="M582" t="s">
        <v>18</v>
      </c>
    </row>
    <row r="583" spans="1:13" x14ac:dyDescent="0.3">
      <c r="A583" t="s">
        <v>1228</v>
      </c>
      <c r="B583" t="s">
        <v>1229</v>
      </c>
      <c r="C583" t="s">
        <v>15</v>
      </c>
      <c r="D583" t="s">
        <v>1230</v>
      </c>
      <c r="E583">
        <v>4999</v>
      </c>
      <c r="F583">
        <v>4098</v>
      </c>
      <c r="G583">
        <v>18</v>
      </c>
      <c r="H583">
        <v>901</v>
      </c>
      <c r="I583" t="s">
        <v>167</v>
      </c>
      <c r="J583">
        <v>4.5</v>
      </c>
      <c r="K583">
        <v>50810</v>
      </c>
      <c r="L583">
        <v>0.7</v>
      </c>
      <c r="M583" t="s">
        <v>18</v>
      </c>
    </row>
    <row r="584" spans="1:13" x14ac:dyDescent="0.3">
      <c r="A584" t="s">
        <v>1231</v>
      </c>
      <c r="B584" t="s">
        <v>1232</v>
      </c>
      <c r="C584" t="s">
        <v>44</v>
      </c>
      <c r="D584" t="s">
        <v>1233</v>
      </c>
      <c r="E584">
        <v>1999</v>
      </c>
      <c r="F584">
        <v>499</v>
      </c>
      <c r="G584">
        <v>75</v>
      </c>
      <c r="H584">
        <v>1500</v>
      </c>
      <c r="I584" t="s">
        <v>17</v>
      </c>
      <c r="J584">
        <v>3.7</v>
      </c>
      <c r="K584">
        <v>3369</v>
      </c>
      <c r="L584">
        <v>0.21919191919191919</v>
      </c>
      <c r="M584" t="s">
        <v>18</v>
      </c>
    </row>
    <row r="585" spans="1:13" x14ac:dyDescent="0.3">
      <c r="A585" t="s">
        <v>1234</v>
      </c>
      <c r="B585" t="s">
        <v>1235</v>
      </c>
      <c r="C585" t="s">
        <v>15</v>
      </c>
      <c r="D585" t="s">
        <v>1171</v>
      </c>
      <c r="E585">
        <v>449</v>
      </c>
      <c r="F585">
        <v>299</v>
      </c>
      <c r="G585">
        <v>33</v>
      </c>
      <c r="H585">
        <v>150</v>
      </c>
      <c r="I585" t="s">
        <v>17</v>
      </c>
      <c r="J585">
        <v>3.5</v>
      </c>
      <c r="K585">
        <v>11827</v>
      </c>
      <c r="L585">
        <v>0.1649572649572649</v>
      </c>
      <c r="M585" t="s">
        <v>18</v>
      </c>
    </row>
    <row r="586" spans="1:13" x14ac:dyDescent="0.3">
      <c r="A586" t="s">
        <v>1236</v>
      </c>
      <c r="B586" t="s">
        <v>1237</v>
      </c>
      <c r="C586" t="s">
        <v>15</v>
      </c>
      <c r="D586" t="s">
        <v>1227</v>
      </c>
      <c r="E586">
        <v>999</v>
      </c>
      <c r="F586">
        <v>699</v>
      </c>
      <c r="G586">
        <v>30</v>
      </c>
      <c r="H586">
        <v>300</v>
      </c>
      <c r="I586" t="s">
        <v>64</v>
      </c>
      <c r="J586">
        <v>3.5</v>
      </c>
      <c r="K586">
        <v>15295</v>
      </c>
      <c r="L586">
        <v>0.1953125</v>
      </c>
      <c r="M586" t="s">
        <v>18</v>
      </c>
    </row>
    <row r="587" spans="1:13" x14ac:dyDescent="0.3">
      <c r="A587" t="s">
        <v>1238</v>
      </c>
      <c r="B587" t="s">
        <v>1239</v>
      </c>
      <c r="C587" t="s">
        <v>44</v>
      </c>
      <c r="D587" t="s">
        <v>1240</v>
      </c>
      <c r="E587">
        <v>3990</v>
      </c>
      <c r="F587">
        <v>799</v>
      </c>
      <c r="G587">
        <v>80</v>
      </c>
      <c r="H587">
        <v>3191</v>
      </c>
      <c r="I587" t="s">
        <v>64</v>
      </c>
      <c r="J587">
        <v>4.3</v>
      </c>
      <c r="K587">
        <v>27139</v>
      </c>
      <c r="L587">
        <v>0.3856</v>
      </c>
      <c r="M587" t="s">
        <v>18</v>
      </c>
    </row>
    <row r="588" spans="1:13" x14ac:dyDescent="0.3">
      <c r="A588" t="s">
        <v>1241</v>
      </c>
      <c r="B588" t="s">
        <v>1242</v>
      </c>
      <c r="C588" t="s">
        <v>44</v>
      </c>
      <c r="D588" t="s">
        <v>737</v>
      </c>
      <c r="E588">
        <v>5499</v>
      </c>
      <c r="F588">
        <v>1399</v>
      </c>
      <c r="G588">
        <v>75</v>
      </c>
      <c r="H588">
        <v>4100</v>
      </c>
      <c r="I588" t="s">
        <v>64</v>
      </c>
      <c r="J588">
        <v>3.9</v>
      </c>
      <c r="K588">
        <v>9504</v>
      </c>
      <c r="L588">
        <v>0.4375</v>
      </c>
      <c r="M588" t="s">
        <v>18</v>
      </c>
    </row>
    <row r="589" spans="1:13" x14ac:dyDescent="0.3">
      <c r="A589" t="s">
        <v>1243</v>
      </c>
      <c r="B589" t="s">
        <v>1244</v>
      </c>
      <c r="C589" t="s">
        <v>15</v>
      </c>
      <c r="D589" t="s">
        <v>1168</v>
      </c>
      <c r="E589">
        <v>1350</v>
      </c>
      <c r="F589">
        <v>519</v>
      </c>
      <c r="G589">
        <v>62</v>
      </c>
      <c r="H589">
        <v>831</v>
      </c>
      <c r="I589" t="s">
        <v>64</v>
      </c>
      <c r="J589">
        <v>4.3</v>
      </c>
      <c r="K589">
        <v>30058</v>
      </c>
      <c r="L589">
        <v>0.27147727272727279</v>
      </c>
      <c r="M589" t="s">
        <v>18</v>
      </c>
    </row>
    <row r="590" spans="1:13" x14ac:dyDescent="0.3">
      <c r="A590" t="s">
        <v>1245</v>
      </c>
      <c r="B590" t="s">
        <v>1246</v>
      </c>
      <c r="C590" t="s">
        <v>44</v>
      </c>
      <c r="D590" t="s">
        <v>737</v>
      </c>
      <c r="E590">
        <v>3990</v>
      </c>
      <c r="F590">
        <v>1499</v>
      </c>
      <c r="G590">
        <v>62</v>
      </c>
      <c r="H590">
        <v>2491</v>
      </c>
      <c r="I590" t="s">
        <v>64</v>
      </c>
      <c r="J590">
        <v>4.0999999999999996</v>
      </c>
      <c r="K590">
        <v>109864</v>
      </c>
      <c r="L590">
        <v>0.22439336952729791</v>
      </c>
      <c r="M590" t="s">
        <v>18</v>
      </c>
    </row>
    <row r="591" spans="1:13" x14ac:dyDescent="0.3">
      <c r="A591" t="s">
        <v>1247</v>
      </c>
      <c r="B591" t="s">
        <v>1248</v>
      </c>
      <c r="C591" t="s">
        <v>1215</v>
      </c>
      <c r="D591" t="s">
        <v>1249</v>
      </c>
      <c r="E591">
        <v>1295</v>
      </c>
      <c r="F591">
        <v>1295</v>
      </c>
      <c r="G591">
        <v>0</v>
      </c>
      <c r="H591">
        <v>0</v>
      </c>
      <c r="I591" t="s">
        <v>64</v>
      </c>
      <c r="J591">
        <v>4.5</v>
      </c>
      <c r="K591">
        <v>5760</v>
      </c>
      <c r="L591">
        <v>0.49611111111111111</v>
      </c>
      <c r="M591" t="s">
        <v>18</v>
      </c>
    </row>
    <row r="592" spans="1:13" x14ac:dyDescent="0.3">
      <c r="A592" t="s">
        <v>1250</v>
      </c>
      <c r="B592" t="s">
        <v>1251</v>
      </c>
      <c r="C592" t="s">
        <v>15</v>
      </c>
      <c r="D592" t="s">
        <v>1252</v>
      </c>
      <c r="E592">
        <v>5499</v>
      </c>
      <c r="F592">
        <v>1889</v>
      </c>
      <c r="G592">
        <v>66</v>
      </c>
      <c r="H592">
        <v>3610</v>
      </c>
      <c r="I592" t="s">
        <v>167</v>
      </c>
      <c r="J592">
        <v>4.2</v>
      </c>
      <c r="K592">
        <v>49551</v>
      </c>
      <c r="L592">
        <v>0.27961309523809519</v>
      </c>
      <c r="M592" t="s">
        <v>18</v>
      </c>
    </row>
    <row r="593" spans="1:13" x14ac:dyDescent="0.3">
      <c r="A593" t="s">
        <v>1253</v>
      </c>
      <c r="B593" t="s">
        <v>1254</v>
      </c>
      <c r="C593" t="s">
        <v>44</v>
      </c>
      <c r="D593" t="s">
        <v>737</v>
      </c>
      <c r="E593">
        <v>1490</v>
      </c>
      <c r="F593">
        <v>455</v>
      </c>
      <c r="G593">
        <v>69</v>
      </c>
      <c r="H593">
        <v>1035</v>
      </c>
      <c r="I593" t="s">
        <v>17</v>
      </c>
      <c r="J593">
        <v>4.0999999999999996</v>
      </c>
      <c r="K593">
        <v>161677</v>
      </c>
      <c r="L593">
        <v>0.2565804597701149</v>
      </c>
      <c r="M593" t="s">
        <v>18</v>
      </c>
    </row>
    <row r="594" spans="1:13" x14ac:dyDescent="0.3">
      <c r="A594" t="s">
        <v>1255</v>
      </c>
      <c r="B594" t="s">
        <v>1256</v>
      </c>
      <c r="C594" t="s">
        <v>44</v>
      </c>
      <c r="D594" t="s">
        <v>1257</v>
      </c>
      <c r="E594">
        <v>995</v>
      </c>
      <c r="F594">
        <v>399</v>
      </c>
      <c r="G594">
        <v>60</v>
      </c>
      <c r="H594">
        <v>596</v>
      </c>
      <c r="I594" t="s">
        <v>17</v>
      </c>
      <c r="J594">
        <v>3.9</v>
      </c>
      <c r="K594">
        <v>21372</v>
      </c>
      <c r="L594">
        <v>0.14722175260636799</v>
      </c>
      <c r="M594" t="s">
        <v>18</v>
      </c>
    </row>
    <row r="595" spans="1:13" x14ac:dyDescent="0.3">
      <c r="A595" t="s">
        <v>1258</v>
      </c>
      <c r="B595" t="s">
        <v>1259</v>
      </c>
      <c r="C595" t="s">
        <v>15</v>
      </c>
      <c r="D595" t="s">
        <v>1260</v>
      </c>
      <c r="E595">
        <v>761</v>
      </c>
      <c r="F595">
        <v>717</v>
      </c>
      <c r="G595">
        <v>6</v>
      </c>
      <c r="H595">
        <v>44</v>
      </c>
      <c r="I595" t="s">
        <v>64</v>
      </c>
      <c r="J595">
        <v>4</v>
      </c>
      <c r="K595">
        <v>7199</v>
      </c>
      <c r="L595">
        <v>0.54312500000000008</v>
      </c>
      <c r="M595" t="s">
        <v>18</v>
      </c>
    </row>
    <row r="596" spans="1:13" x14ac:dyDescent="0.3">
      <c r="A596" t="s">
        <v>1261</v>
      </c>
      <c r="B596" t="s">
        <v>1262</v>
      </c>
      <c r="C596" t="s">
        <v>15</v>
      </c>
      <c r="D596" t="s">
        <v>1263</v>
      </c>
      <c r="E596">
        <v>299</v>
      </c>
      <c r="F596">
        <v>39</v>
      </c>
      <c r="G596">
        <v>87</v>
      </c>
      <c r="H596">
        <v>260</v>
      </c>
      <c r="I596" t="s">
        <v>17</v>
      </c>
      <c r="J596">
        <v>3.5</v>
      </c>
      <c r="K596">
        <v>15233</v>
      </c>
      <c r="L596">
        <v>0.20608974358974361</v>
      </c>
      <c r="M596" t="s">
        <v>18</v>
      </c>
    </row>
    <row r="597" spans="1:13" x14ac:dyDescent="0.3">
      <c r="A597" t="s">
        <v>1264</v>
      </c>
      <c r="B597" t="s">
        <v>1265</v>
      </c>
      <c r="C597" t="s">
        <v>15</v>
      </c>
      <c r="D597" t="s">
        <v>1168</v>
      </c>
      <c r="E597">
        <v>2500</v>
      </c>
      <c r="F597">
        <v>889</v>
      </c>
      <c r="G597">
        <v>64</v>
      </c>
      <c r="H597">
        <v>1611</v>
      </c>
      <c r="I597" t="s">
        <v>64</v>
      </c>
      <c r="J597">
        <v>4.3</v>
      </c>
      <c r="K597">
        <v>55747</v>
      </c>
      <c r="L597">
        <v>0.43</v>
      </c>
      <c r="M597" t="s">
        <v>18</v>
      </c>
    </row>
    <row r="598" spans="1:13" x14ac:dyDescent="0.3">
      <c r="A598" t="s">
        <v>1266</v>
      </c>
      <c r="B598" t="s">
        <v>1267</v>
      </c>
      <c r="C598" t="s">
        <v>44</v>
      </c>
      <c r="D598" t="s">
        <v>737</v>
      </c>
      <c r="E598">
        <v>4999</v>
      </c>
      <c r="F598">
        <v>1199</v>
      </c>
      <c r="G598">
        <v>76</v>
      </c>
      <c r="H598">
        <v>3800</v>
      </c>
      <c r="I598" t="s">
        <v>64</v>
      </c>
      <c r="J598">
        <v>3.8</v>
      </c>
      <c r="K598">
        <v>14961</v>
      </c>
      <c r="L598">
        <v>0.21859848484848479</v>
      </c>
      <c r="M598" t="s">
        <v>18</v>
      </c>
    </row>
    <row r="599" spans="1:13" x14ac:dyDescent="0.3">
      <c r="A599" t="s">
        <v>1268</v>
      </c>
      <c r="B599" t="s">
        <v>1269</v>
      </c>
      <c r="C599" t="s">
        <v>15</v>
      </c>
      <c r="D599" t="s">
        <v>1171</v>
      </c>
      <c r="E599">
        <v>1299</v>
      </c>
      <c r="F599">
        <v>569</v>
      </c>
      <c r="G599">
        <v>56</v>
      </c>
      <c r="H599">
        <v>730</v>
      </c>
      <c r="I599" t="s">
        <v>64</v>
      </c>
      <c r="J599">
        <v>4.4000000000000004</v>
      </c>
      <c r="K599">
        <v>9275</v>
      </c>
      <c r="L599">
        <v>0.41661458333333329</v>
      </c>
      <c r="M599" t="s">
        <v>18</v>
      </c>
    </row>
    <row r="600" spans="1:13" x14ac:dyDescent="0.3">
      <c r="A600" t="s">
        <v>1270</v>
      </c>
      <c r="B600" t="s">
        <v>1271</v>
      </c>
      <c r="C600" t="s">
        <v>44</v>
      </c>
      <c r="D600" t="s">
        <v>737</v>
      </c>
      <c r="E600">
        <v>8999</v>
      </c>
      <c r="F600">
        <v>1499</v>
      </c>
      <c r="G600">
        <v>83</v>
      </c>
      <c r="H600">
        <v>7500</v>
      </c>
      <c r="I600" t="s">
        <v>64</v>
      </c>
      <c r="J600">
        <v>3.7</v>
      </c>
      <c r="K600">
        <v>28324</v>
      </c>
      <c r="L600">
        <v>0.17312912756343399</v>
      </c>
      <c r="M600" t="s">
        <v>18</v>
      </c>
    </row>
    <row r="601" spans="1:13" x14ac:dyDescent="0.3">
      <c r="A601" t="s">
        <v>1272</v>
      </c>
      <c r="B601" t="s">
        <v>1273</v>
      </c>
      <c r="C601" t="s">
        <v>44</v>
      </c>
      <c r="D601" t="s">
        <v>1212</v>
      </c>
      <c r="E601">
        <v>180</v>
      </c>
      <c r="F601">
        <v>149</v>
      </c>
      <c r="G601">
        <v>17</v>
      </c>
      <c r="H601">
        <v>31</v>
      </c>
      <c r="I601" t="s">
        <v>17</v>
      </c>
      <c r="J601">
        <v>4.4000000000000004</v>
      </c>
      <c r="K601">
        <v>644</v>
      </c>
      <c r="L601">
        <v>-2.2999999999999899E-2</v>
      </c>
      <c r="M601" t="s">
        <v>103</v>
      </c>
    </row>
    <row r="602" spans="1:13" x14ac:dyDescent="0.3">
      <c r="A602" t="s">
        <v>1274</v>
      </c>
      <c r="B602" t="s">
        <v>1275</v>
      </c>
      <c r="C602" t="s">
        <v>15</v>
      </c>
      <c r="D602" t="s">
        <v>1276</v>
      </c>
      <c r="E602">
        <v>549</v>
      </c>
      <c r="F602">
        <v>399</v>
      </c>
      <c r="G602">
        <v>27</v>
      </c>
      <c r="H602">
        <v>150</v>
      </c>
      <c r="I602" t="s">
        <v>17</v>
      </c>
      <c r="J602">
        <v>4.4000000000000004</v>
      </c>
      <c r="K602">
        <v>18139</v>
      </c>
      <c r="L602">
        <v>0.16295566502463049</v>
      </c>
      <c r="M602" t="s">
        <v>18</v>
      </c>
    </row>
    <row r="603" spans="1:13" x14ac:dyDescent="0.3">
      <c r="A603" t="s">
        <v>1277</v>
      </c>
      <c r="B603" t="s">
        <v>1278</v>
      </c>
      <c r="C603" t="s">
        <v>1219</v>
      </c>
      <c r="D603" t="s">
        <v>1279</v>
      </c>
      <c r="E603">
        <v>225</v>
      </c>
      <c r="F603">
        <v>191</v>
      </c>
      <c r="G603">
        <v>15</v>
      </c>
      <c r="H603">
        <v>34</v>
      </c>
      <c r="I603" t="s">
        <v>17</v>
      </c>
      <c r="J603">
        <v>4.4000000000000004</v>
      </c>
      <c r="K603">
        <v>7203</v>
      </c>
      <c r="L603">
        <v>0.4037533333333333</v>
      </c>
      <c r="M603" t="s">
        <v>18</v>
      </c>
    </row>
    <row r="604" spans="1:13" x14ac:dyDescent="0.3">
      <c r="A604" t="s">
        <v>1280</v>
      </c>
      <c r="B604" t="s">
        <v>1281</v>
      </c>
      <c r="C604" t="s">
        <v>15</v>
      </c>
      <c r="D604" t="s">
        <v>1282</v>
      </c>
      <c r="E604">
        <v>999</v>
      </c>
      <c r="F604">
        <v>129</v>
      </c>
      <c r="G604">
        <v>87</v>
      </c>
      <c r="H604">
        <v>870</v>
      </c>
      <c r="I604" t="s">
        <v>17</v>
      </c>
      <c r="J604">
        <v>4.2</v>
      </c>
      <c r="K604">
        <v>491</v>
      </c>
      <c r="L604">
        <v>0.26953125</v>
      </c>
      <c r="M604" t="s">
        <v>18</v>
      </c>
    </row>
    <row r="605" spans="1:13" x14ac:dyDescent="0.3">
      <c r="A605" t="s">
        <v>1283</v>
      </c>
      <c r="B605" t="s">
        <v>1284</v>
      </c>
      <c r="C605" t="s">
        <v>15</v>
      </c>
      <c r="D605" t="s">
        <v>1285</v>
      </c>
      <c r="E605">
        <v>599</v>
      </c>
      <c r="F605">
        <v>199</v>
      </c>
      <c r="G605">
        <v>67</v>
      </c>
      <c r="H605">
        <v>400</v>
      </c>
      <c r="I605" t="s">
        <v>17</v>
      </c>
      <c r="J605">
        <v>4.5</v>
      </c>
      <c r="K605">
        <v>13568</v>
      </c>
      <c r="L605">
        <v>0.32045454545454538</v>
      </c>
      <c r="M605" t="s">
        <v>18</v>
      </c>
    </row>
    <row r="606" spans="1:13" x14ac:dyDescent="0.3">
      <c r="A606" t="s">
        <v>1286</v>
      </c>
      <c r="B606" t="s">
        <v>1287</v>
      </c>
      <c r="C606" t="s">
        <v>44</v>
      </c>
      <c r="D606" t="s">
        <v>737</v>
      </c>
      <c r="E606">
        <v>4499</v>
      </c>
      <c r="F606">
        <v>999</v>
      </c>
      <c r="G606">
        <v>78</v>
      </c>
      <c r="H606">
        <v>3500</v>
      </c>
      <c r="I606" t="s">
        <v>64</v>
      </c>
      <c r="J606">
        <v>3.8</v>
      </c>
      <c r="K606">
        <v>3390</v>
      </c>
      <c r="L606">
        <v>0.3510869565217391</v>
      </c>
      <c r="M606" t="s">
        <v>18</v>
      </c>
    </row>
    <row r="607" spans="1:13" x14ac:dyDescent="0.3">
      <c r="A607" t="s">
        <v>1288</v>
      </c>
      <c r="B607" t="s">
        <v>1289</v>
      </c>
      <c r="C607" t="s">
        <v>44</v>
      </c>
      <c r="D607" t="s">
        <v>737</v>
      </c>
      <c r="E607">
        <v>4499</v>
      </c>
      <c r="F607">
        <v>899</v>
      </c>
      <c r="G607">
        <v>80</v>
      </c>
      <c r="H607">
        <v>3600</v>
      </c>
      <c r="I607" t="s">
        <v>64</v>
      </c>
      <c r="J607">
        <v>3.8</v>
      </c>
      <c r="K607">
        <v>103052</v>
      </c>
      <c r="L607">
        <v>0.26645634920634909</v>
      </c>
      <c r="M607" t="s">
        <v>18</v>
      </c>
    </row>
    <row r="608" spans="1:13" x14ac:dyDescent="0.3">
      <c r="A608" t="s">
        <v>1290</v>
      </c>
      <c r="B608" t="s">
        <v>1291</v>
      </c>
      <c r="C608" t="s">
        <v>1215</v>
      </c>
      <c r="D608" t="s">
        <v>1249</v>
      </c>
      <c r="E608">
        <v>550</v>
      </c>
      <c r="F608">
        <v>522</v>
      </c>
      <c r="G608">
        <v>5</v>
      </c>
      <c r="H608">
        <v>28</v>
      </c>
      <c r="I608" t="s">
        <v>64</v>
      </c>
      <c r="J608">
        <v>4.4000000000000004</v>
      </c>
      <c r="K608">
        <v>12179</v>
      </c>
      <c r="L608">
        <v>0.37777777777777771</v>
      </c>
      <c r="M608" t="s">
        <v>18</v>
      </c>
    </row>
    <row r="609" spans="1:13" x14ac:dyDescent="0.3">
      <c r="A609" t="s">
        <v>1292</v>
      </c>
      <c r="B609" t="s">
        <v>1293</v>
      </c>
      <c r="C609" t="s">
        <v>44</v>
      </c>
      <c r="D609" t="s">
        <v>1294</v>
      </c>
      <c r="E609">
        <v>1999</v>
      </c>
      <c r="F609">
        <v>799</v>
      </c>
      <c r="G609">
        <v>60</v>
      </c>
      <c r="H609">
        <v>1200</v>
      </c>
      <c r="I609" t="s">
        <v>64</v>
      </c>
      <c r="J609">
        <v>3.8</v>
      </c>
      <c r="K609">
        <v>12958</v>
      </c>
      <c r="L609">
        <v>0.50128205128205139</v>
      </c>
      <c r="M609" t="s">
        <v>18</v>
      </c>
    </row>
    <row r="610" spans="1:13" x14ac:dyDescent="0.3">
      <c r="A610" t="s">
        <v>1295</v>
      </c>
      <c r="B610" t="s">
        <v>1296</v>
      </c>
      <c r="C610" t="s">
        <v>15</v>
      </c>
      <c r="D610" t="s">
        <v>1171</v>
      </c>
      <c r="E610">
        <v>1199</v>
      </c>
      <c r="F610">
        <v>681</v>
      </c>
      <c r="G610">
        <v>43</v>
      </c>
      <c r="H610">
        <v>518</v>
      </c>
      <c r="I610" t="s">
        <v>64</v>
      </c>
      <c r="J610">
        <v>4.2</v>
      </c>
      <c r="K610">
        <v>8258</v>
      </c>
      <c r="L610">
        <v>7.7020202020202003E-2</v>
      </c>
      <c r="M610" t="s">
        <v>103</v>
      </c>
    </row>
    <row r="611" spans="1:13" x14ac:dyDescent="0.3">
      <c r="A611" t="s">
        <v>1297</v>
      </c>
      <c r="B611" t="s">
        <v>1298</v>
      </c>
      <c r="C611" t="s">
        <v>15</v>
      </c>
      <c r="D611" t="s">
        <v>1299</v>
      </c>
      <c r="E611">
        <v>3490</v>
      </c>
      <c r="F611">
        <v>1199</v>
      </c>
      <c r="G611">
        <v>66</v>
      </c>
      <c r="H611">
        <v>2291</v>
      </c>
      <c r="I611" t="s">
        <v>64</v>
      </c>
      <c r="J611">
        <v>4.0999999999999996</v>
      </c>
      <c r="K611">
        <v>11716</v>
      </c>
      <c r="L611">
        <v>0.13305017386984599</v>
      </c>
      <c r="M611" t="s">
        <v>18</v>
      </c>
    </row>
    <row r="612" spans="1:13" x14ac:dyDescent="0.3">
      <c r="A612" t="s">
        <v>1300</v>
      </c>
      <c r="B612" t="s">
        <v>1301</v>
      </c>
      <c r="C612" t="s">
        <v>15</v>
      </c>
      <c r="D612" t="s">
        <v>1302</v>
      </c>
      <c r="E612">
        <v>4999</v>
      </c>
      <c r="F612">
        <v>2499</v>
      </c>
      <c r="G612">
        <v>50</v>
      </c>
      <c r="H612">
        <v>2500</v>
      </c>
      <c r="I612" t="s">
        <v>167</v>
      </c>
      <c r="J612">
        <v>4.4000000000000004</v>
      </c>
      <c r="K612">
        <v>35024</v>
      </c>
      <c r="L612">
        <v>0.22672413793103441</v>
      </c>
      <c r="M612" t="s">
        <v>18</v>
      </c>
    </row>
    <row r="613" spans="1:13" x14ac:dyDescent="0.3">
      <c r="A613" t="s">
        <v>1303</v>
      </c>
      <c r="B613" t="s">
        <v>1304</v>
      </c>
      <c r="C613" t="s">
        <v>44</v>
      </c>
      <c r="D613" t="s">
        <v>1305</v>
      </c>
      <c r="E613">
        <v>4999</v>
      </c>
      <c r="F613">
        <v>1799</v>
      </c>
      <c r="G613">
        <v>64</v>
      </c>
      <c r="H613">
        <v>3200</v>
      </c>
      <c r="I613" t="s">
        <v>167</v>
      </c>
      <c r="J613">
        <v>4.0999999999999996</v>
      </c>
      <c r="K613">
        <v>55192</v>
      </c>
      <c r="L613">
        <v>0.22220695970695969</v>
      </c>
      <c r="M613" t="s">
        <v>18</v>
      </c>
    </row>
    <row r="614" spans="1:13" x14ac:dyDescent="0.3">
      <c r="A614" t="s">
        <v>1306</v>
      </c>
      <c r="B614" t="s">
        <v>1307</v>
      </c>
      <c r="C614" t="s">
        <v>44</v>
      </c>
      <c r="D614" t="s">
        <v>737</v>
      </c>
      <c r="E614">
        <v>599</v>
      </c>
      <c r="F614">
        <v>429</v>
      </c>
      <c r="G614">
        <v>28</v>
      </c>
      <c r="H614">
        <v>170</v>
      </c>
      <c r="I614" t="s">
        <v>17</v>
      </c>
      <c r="J614">
        <v>4.0999999999999996</v>
      </c>
      <c r="K614">
        <v>119466</v>
      </c>
      <c r="L614">
        <v>0.1307331858962294</v>
      </c>
      <c r="M614" t="s">
        <v>18</v>
      </c>
    </row>
    <row r="615" spans="1:13" x14ac:dyDescent="0.3">
      <c r="A615" t="s">
        <v>1308</v>
      </c>
      <c r="B615" t="s">
        <v>1309</v>
      </c>
      <c r="C615" t="s">
        <v>15</v>
      </c>
      <c r="D615" t="s">
        <v>1174</v>
      </c>
      <c r="E615">
        <v>499</v>
      </c>
      <c r="F615">
        <v>100</v>
      </c>
      <c r="G615">
        <v>80</v>
      </c>
      <c r="H615">
        <v>399</v>
      </c>
      <c r="I615" t="s">
        <v>17</v>
      </c>
      <c r="J615">
        <v>3.5</v>
      </c>
      <c r="K615">
        <v>9638</v>
      </c>
      <c r="L615">
        <v>0.27619047619047621</v>
      </c>
      <c r="M615" t="s">
        <v>18</v>
      </c>
    </row>
    <row r="616" spans="1:13" x14ac:dyDescent="0.3">
      <c r="A616" t="s">
        <v>1310</v>
      </c>
      <c r="B616" t="s">
        <v>1311</v>
      </c>
      <c r="C616" t="s">
        <v>15</v>
      </c>
      <c r="D616" t="s">
        <v>1203</v>
      </c>
      <c r="E616">
        <v>399</v>
      </c>
      <c r="F616">
        <v>329</v>
      </c>
      <c r="G616">
        <v>18</v>
      </c>
      <c r="H616">
        <v>70</v>
      </c>
      <c r="I616" t="s">
        <v>17</v>
      </c>
      <c r="J616">
        <v>3.6</v>
      </c>
      <c r="K616">
        <v>33735</v>
      </c>
      <c r="L616">
        <v>0.12223333333333319</v>
      </c>
      <c r="M616" t="s">
        <v>18</v>
      </c>
    </row>
    <row r="617" spans="1:13" x14ac:dyDescent="0.3">
      <c r="A617" t="s">
        <v>1312</v>
      </c>
      <c r="B617" t="s">
        <v>1313</v>
      </c>
      <c r="C617" t="s">
        <v>15</v>
      </c>
      <c r="D617" t="s">
        <v>1171</v>
      </c>
      <c r="E617">
        <v>299</v>
      </c>
      <c r="F617">
        <v>139</v>
      </c>
      <c r="G617">
        <v>54</v>
      </c>
      <c r="H617">
        <v>160</v>
      </c>
      <c r="I617" t="s">
        <v>17</v>
      </c>
      <c r="J617">
        <v>3.8</v>
      </c>
      <c r="K617">
        <v>3044</v>
      </c>
      <c r="L617">
        <v>0.218890977443609</v>
      </c>
      <c r="M617" t="s">
        <v>18</v>
      </c>
    </row>
    <row r="618" spans="1:13" x14ac:dyDescent="0.3">
      <c r="A618" t="s">
        <v>1314</v>
      </c>
      <c r="B618" t="s">
        <v>1315</v>
      </c>
      <c r="C618" t="s">
        <v>44</v>
      </c>
      <c r="D618" t="s">
        <v>1076</v>
      </c>
      <c r="E618">
        <v>2499</v>
      </c>
      <c r="F618">
        <v>1199</v>
      </c>
      <c r="G618">
        <v>52</v>
      </c>
      <c r="H618">
        <v>1300</v>
      </c>
      <c r="I618" t="s">
        <v>64</v>
      </c>
      <c r="J618">
        <v>4</v>
      </c>
      <c r="K618">
        <v>33584</v>
      </c>
      <c r="L618">
        <v>0.1022051282051282</v>
      </c>
      <c r="M618" t="s">
        <v>18</v>
      </c>
    </row>
    <row r="619" spans="1:13" x14ac:dyDescent="0.3">
      <c r="A619" t="s">
        <v>1316</v>
      </c>
      <c r="B619" t="s">
        <v>1317</v>
      </c>
      <c r="C619" t="s">
        <v>44</v>
      </c>
      <c r="D619" t="s">
        <v>1318</v>
      </c>
      <c r="E619">
        <v>2299</v>
      </c>
      <c r="F619">
        <v>1049</v>
      </c>
      <c r="G619">
        <v>54</v>
      </c>
      <c r="H619">
        <v>1250</v>
      </c>
      <c r="I619" t="s">
        <v>64</v>
      </c>
      <c r="J619">
        <v>3.9</v>
      </c>
      <c r="K619">
        <v>1779</v>
      </c>
      <c r="L619">
        <v>0.23719017094017089</v>
      </c>
      <c r="M619" t="s">
        <v>18</v>
      </c>
    </row>
    <row r="620" spans="1:13" x14ac:dyDescent="0.3">
      <c r="A620" t="s">
        <v>1319</v>
      </c>
      <c r="B620" t="s">
        <v>1320</v>
      </c>
      <c r="C620" t="s">
        <v>44</v>
      </c>
      <c r="D620" t="s">
        <v>1321</v>
      </c>
      <c r="E620">
        <v>250</v>
      </c>
      <c r="F620">
        <v>225</v>
      </c>
      <c r="G620">
        <v>10</v>
      </c>
      <c r="H620">
        <v>25</v>
      </c>
      <c r="I620" t="s">
        <v>17</v>
      </c>
      <c r="J620">
        <v>4.4000000000000004</v>
      </c>
      <c r="K620">
        <v>26556</v>
      </c>
      <c r="L620">
        <v>0.41</v>
      </c>
      <c r="M620" t="s">
        <v>18</v>
      </c>
    </row>
    <row r="621" spans="1:13" x14ac:dyDescent="0.3">
      <c r="A621" t="s">
        <v>1322</v>
      </c>
      <c r="B621" t="s">
        <v>1323</v>
      </c>
      <c r="C621" t="s">
        <v>15</v>
      </c>
      <c r="D621" t="s">
        <v>1179</v>
      </c>
      <c r="E621">
        <v>1499</v>
      </c>
      <c r="F621">
        <v>656</v>
      </c>
      <c r="G621">
        <v>56</v>
      </c>
      <c r="H621">
        <v>843</v>
      </c>
      <c r="I621" t="s">
        <v>64</v>
      </c>
      <c r="J621">
        <v>4.3</v>
      </c>
      <c r="K621">
        <v>25903</v>
      </c>
      <c r="L621">
        <v>0.34139999999999998</v>
      </c>
      <c r="M621" t="s">
        <v>18</v>
      </c>
    </row>
    <row r="622" spans="1:13" x14ac:dyDescent="0.3">
      <c r="A622" t="s">
        <v>1324</v>
      </c>
      <c r="B622" t="s">
        <v>1325</v>
      </c>
      <c r="C622" t="s">
        <v>15</v>
      </c>
      <c r="D622" t="s">
        <v>1168</v>
      </c>
      <c r="E622">
        <v>2800</v>
      </c>
      <c r="F622">
        <v>1109</v>
      </c>
      <c r="G622">
        <v>60</v>
      </c>
      <c r="H622">
        <v>1691</v>
      </c>
      <c r="I622" t="s">
        <v>64</v>
      </c>
      <c r="J622">
        <v>4.3</v>
      </c>
      <c r="K622">
        <v>53464</v>
      </c>
      <c r="L622">
        <v>0.1156001984126984</v>
      </c>
      <c r="M622" t="s">
        <v>18</v>
      </c>
    </row>
    <row r="623" spans="1:13" x14ac:dyDescent="0.3">
      <c r="A623" t="s">
        <v>1326</v>
      </c>
      <c r="B623" t="s">
        <v>1327</v>
      </c>
      <c r="C623" t="s">
        <v>15</v>
      </c>
      <c r="D623" t="s">
        <v>1282</v>
      </c>
      <c r="E623">
        <v>299</v>
      </c>
      <c r="F623">
        <v>169</v>
      </c>
      <c r="G623">
        <v>43</v>
      </c>
      <c r="H623">
        <v>130</v>
      </c>
      <c r="I623" t="s">
        <v>17</v>
      </c>
      <c r="J623">
        <v>4.4000000000000004</v>
      </c>
      <c r="K623">
        <v>5176</v>
      </c>
      <c r="L623">
        <v>0.25551282051282048</v>
      </c>
      <c r="M623" t="s">
        <v>18</v>
      </c>
    </row>
    <row r="624" spans="1:13" x14ac:dyDescent="0.3">
      <c r="A624" t="s">
        <v>1328</v>
      </c>
      <c r="B624" t="s">
        <v>1329</v>
      </c>
      <c r="C624" t="s">
        <v>15</v>
      </c>
      <c r="D624" t="s">
        <v>1260</v>
      </c>
      <c r="E624">
        <v>404</v>
      </c>
      <c r="F624">
        <v>309</v>
      </c>
      <c r="G624">
        <v>24</v>
      </c>
      <c r="H624">
        <v>95</v>
      </c>
      <c r="I624" t="s">
        <v>17</v>
      </c>
      <c r="J624">
        <v>4.4000000000000004</v>
      </c>
      <c r="K624">
        <v>8614</v>
      </c>
      <c r="L624">
        <v>0.33693181818181822</v>
      </c>
      <c r="M624" t="s">
        <v>18</v>
      </c>
    </row>
    <row r="625" spans="1:13" x14ac:dyDescent="0.3">
      <c r="A625" t="s">
        <v>1330</v>
      </c>
      <c r="B625" t="s">
        <v>1331</v>
      </c>
      <c r="C625" t="s">
        <v>44</v>
      </c>
      <c r="D625" t="s">
        <v>1076</v>
      </c>
      <c r="E625">
        <v>1399</v>
      </c>
      <c r="F625">
        <v>599</v>
      </c>
      <c r="G625">
        <v>57</v>
      </c>
      <c r="H625">
        <v>800</v>
      </c>
      <c r="I625" t="s">
        <v>64</v>
      </c>
      <c r="J625">
        <v>3.8</v>
      </c>
      <c r="K625">
        <v>60026</v>
      </c>
      <c r="L625">
        <v>0.1403867139804639</v>
      </c>
      <c r="M625" t="s">
        <v>18</v>
      </c>
    </row>
    <row r="626" spans="1:13" x14ac:dyDescent="0.3">
      <c r="A626" t="s">
        <v>1332</v>
      </c>
      <c r="B626" t="s">
        <v>1333</v>
      </c>
      <c r="C626" t="s">
        <v>15</v>
      </c>
      <c r="D626" t="s">
        <v>1203</v>
      </c>
      <c r="E626">
        <v>599</v>
      </c>
      <c r="F626">
        <v>299</v>
      </c>
      <c r="G626">
        <v>50</v>
      </c>
      <c r="H626">
        <v>300</v>
      </c>
      <c r="I626" t="s">
        <v>17</v>
      </c>
      <c r="J626">
        <v>3.8</v>
      </c>
      <c r="K626">
        <v>3066</v>
      </c>
      <c r="L626">
        <v>-8.6458333333333304E-2</v>
      </c>
      <c r="M626" t="s">
        <v>69</v>
      </c>
    </row>
    <row r="627" spans="1:13" x14ac:dyDescent="0.3">
      <c r="A627" t="s">
        <v>1334</v>
      </c>
      <c r="B627" t="s">
        <v>1335</v>
      </c>
      <c r="C627" t="s">
        <v>15</v>
      </c>
      <c r="D627" t="s">
        <v>1179</v>
      </c>
      <c r="E627">
        <v>999</v>
      </c>
      <c r="F627">
        <v>449</v>
      </c>
      <c r="G627">
        <v>55</v>
      </c>
      <c r="H627">
        <v>550</v>
      </c>
      <c r="I627" t="s">
        <v>17</v>
      </c>
      <c r="J627">
        <v>4</v>
      </c>
      <c r="K627">
        <v>2102</v>
      </c>
      <c r="L627">
        <v>9.6428571428571294E-2</v>
      </c>
      <c r="M627" t="s">
        <v>103</v>
      </c>
    </row>
    <row r="628" spans="1:13" x14ac:dyDescent="0.3">
      <c r="A628" t="s">
        <v>1336</v>
      </c>
      <c r="B628" t="s">
        <v>1337</v>
      </c>
      <c r="C628" t="s">
        <v>15</v>
      </c>
      <c r="D628" t="s">
        <v>1171</v>
      </c>
      <c r="E628">
        <v>1295</v>
      </c>
      <c r="F628">
        <v>799</v>
      </c>
      <c r="G628">
        <v>38</v>
      </c>
      <c r="H628">
        <v>496</v>
      </c>
      <c r="I628" t="s">
        <v>64</v>
      </c>
      <c r="J628">
        <v>4.4000000000000004</v>
      </c>
      <c r="K628">
        <v>34852</v>
      </c>
      <c r="L628">
        <v>0.1838888888888888</v>
      </c>
      <c r="M628" t="s">
        <v>18</v>
      </c>
    </row>
    <row r="629" spans="1:13" x14ac:dyDescent="0.3">
      <c r="A629" t="s">
        <v>1338</v>
      </c>
      <c r="B629" t="s">
        <v>1339</v>
      </c>
      <c r="C629" t="s">
        <v>1215</v>
      </c>
      <c r="D629" t="s">
        <v>1340</v>
      </c>
      <c r="E629">
        <v>160</v>
      </c>
      <c r="F629">
        <v>157</v>
      </c>
      <c r="G629">
        <v>2</v>
      </c>
      <c r="H629">
        <v>3</v>
      </c>
      <c r="I629" t="s">
        <v>17</v>
      </c>
      <c r="J629">
        <v>4.5</v>
      </c>
      <c r="K629">
        <v>8618</v>
      </c>
      <c r="L629">
        <v>0.2350198412698413</v>
      </c>
      <c r="M629" t="s">
        <v>18</v>
      </c>
    </row>
    <row r="630" spans="1:13" x14ac:dyDescent="0.3">
      <c r="A630" t="s">
        <v>1341</v>
      </c>
      <c r="B630" t="s">
        <v>1342</v>
      </c>
      <c r="C630" t="s">
        <v>15</v>
      </c>
      <c r="D630" t="s">
        <v>1171</v>
      </c>
      <c r="E630">
        <v>899</v>
      </c>
      <c r="F630">
        <v>599</v>
      </c>
      <c r="G630">
        <v>33</v>
      </c>
      <c r="H630">
        <v>300</v>
      </c>
      <c r="I630" t="s">
        <v>64</v>
      </c>
      <c r="J630">
        <v>4</v>
      </c>
      <c r="K630">
        <v>4018</v>
      </c>
      <c r="L630">
        <v>0.20277777777777781</v>
      </c>
      <c r="M630" t="s">
        <v>18</v>
      </c>
    </row>
    <row r="631" spans="1:13" x14ac:dyDescent="0.3">
      <c r="A631" t="s">
        <v>1343</v>
      </c>
      <c r="B631" t="s">
        <v>1344</v>
      </c>
      <c r="C631" t="s">
        <v>44</v>
      </c>
      <c r="D631" t="s">
        <v>1345</v>
      </c>
      <c r="E631">
        <v>599</v>
      </c>
      <c r="F631">
        <v>479</v>
      </c>
      <c r="G631">
        <v>20</v>
      </c>
      <c r="H631">
        <v>120</v>
      </c>
      <c r="I631" t="s">
        <v>17</v>
      </c>
      <c r="J631">
        <v>4.3</v>
      </c>
      <c r="K631">
        <v>11687</v>
      </c>
      <c r="L631">
        <v>0.2439393939393939</v>
      </c>
      <c r="M631" t="s">
        <v>18</v>
      </c>
    </row>
    <row r="632" spans="1:13" x14ac:dyDescent="0.3">
      <c r="A632" t="s">
        <v>1346</v>
      </c>
      <c r="B632" t="s">
        <v>1347</v>
      </c>
      <c r="C632" t="s">
        <v>44</v>
      </c>
      <c r="D632" t="s">
        <v>737</v>
      </c>
      <c r="E632">
        <v>2990</v>
      </c>
      <c r="F632">
        <v>1598</v>
      </c>
      <c r="G632">
        <v>47</v>
      </c>
      <c r="H632">
        <v>1392</v>
      </c>
      <c r="I632" t="s">
        <v>167</v>
      </c>
      <c r="J632">
        <v>3.8</v>
      </c>
      <c r="K632">
        <v>11015</v>
      </c>
      <c r="L632">
        <v>0.28060439560439537</v>
      </c>
      <c r="M632" t="s">
        <v>18</v>
      </c>
    </row>
    <row r="633" spans="1:13" x14ac:dyDescent="0.3">
      <c r="A633" t="s">
        <v>1348</v>
      </c>
      <c r="B633" t="s">
        <v>1349</v>
      </c>
      <c r="C633" t="s">
        <v>15</v>
      </c>
      <c r="D633" t="s">
        <v>1350</v>
      </c>
      <c r="E633">
        <v>899</v>
      </c>
      <c r="F633">
        <v>599</v>
      </c>
      <c r="G633">
        <v>33</v>
      </c>
      <c r="H633">
        <v>300</v>
      </c>
      <c r="I633" t="s">
        <v>64</v>
      </c>
      <c r="J633">
        <v>4.3</v>
      </c>
      <c r="K633">
        <v>95116</v>
      </c>
      <c r="L633">
        <v>9.1005619168786994E-2</v>
      </c>
      <c r="M633" t="s">
        <v>103</v>
      </c>
    </row>
    <row r="634" spans="1:13" x14ac:dyDescent="0.3">
      <c r="A634" t="s">
        <v>1351</v>
      </c>
      <c r="B634" t="s">
        <v>1352</v>
      </c>
      <c r="C634" t="s">
        <v>15</v>
      </c>
      <c r="D634" t="s">
        <v>1168</v>
      </c>
      <c r="E634">
        <v>3000</v>
      </c>
      <c r="F634">
        <v>1299</v>
      </c>
      <c r="G634">
        <v>57</v>
      </c>
      <c r="H634">
        <v>1701</v>
      </c>
      <c r="I634" t="s">
        <v>64</v>
      </c>
      <c r="J634">
        <v>4.3</v>
      </c>
      <c r="K634">
        <v>23022</v>
      </c>
      <c r="L634">
        <v>0.20169413919413909</v>
      </c>
      <c r="M634" t="s">
        <v>18</v>
      </c>
    </row>
    <row r="635" spans="1:13" x14ac:dyDescent="0.3">
      <c r="A635" t="s">
        <v>1353</v>
      </c>
      <c r="B635" t="s">
        <v>1354</v>
      </c>
      <c r="C635" t="s">
        <v>15</v>
      </c>
      <c r="D635" t="s">
        <v>1355</v>
      </c>
      <c r="E635">
        <v>4999</v>
      </c>
      <c r="F635">
        <v>294</v>
      </c>
      <c r="G635">
        <v>94</v>
      </c>
      <c r="H635">
        <v>4705</v>
      </c>
      <c r="I635" t="s">
        <v>17</v>
      </c>
      <c r="J635">
        <v>4.3</v>
      </c>
      <c r="K635">
        <v>4426</v>
      </c>
      <c r="L635">
        <v>0.27550505050505047</v>
      </c>
      <c r="M635" t="s">
        <v>18</v>
      </c>
    </row>
    <row r="636" spans="1:13" x14ac:dyDescent="0.3">
      <c r="A636" t="s">
        <v>1356</v>
      </c>
      <c r="B636" t="s">
        <v>1357</v>
      </c>
      <c r="C636" t="s">
        <v>15</v>
      </c>
      <c r="D636" t="s">
        <v>1260</v>
      </c>
      <c r="E636">
        <v>861</v>
      </c>
      <c r="F636">
        <v>828</v>
      </c>
      <c r="G636">
        <v>4</v>
      </c>
      <c r="H636">
        <v>33</v>
      </c>
      <c r="I636" t="s">
        <v>64</v>
      </c>
      <c r="J636">
        <v>4.2</v>
      </c>
      <c r="K636">
        <v>4567</v>
      </c>
      <c r="L636">
        <v>0.3785714285714285</v>
      </c>
      <c r="M636" t="s">
        <v>18</v>
      </c>
    </row>
    <row r="637" spans="1:13" x14ac:dyDescent="0.3">
      <c r="A637" t="s">
        <v>1358</v>
      </c>
      <c r="B637" t="s">
        <v>1359</v>
      </c>
      <c r="C637" t="s">
        <v>44</v>
      </c>
      <c r="D637" t="s">
        <v>1076</v>
      </c>
      <c r="E637">
        <v>795</v>
      </c>
      <c r="F637">
        <v>745</v>
      </c>
      <c r="G637">
        <v>6</v>
      </c>
      <c r="H637">
        <v>50</v>
      </c>
      <c r="I637" t="s">
        <v>64</v>
      </c>
      <c r="J637">
        <v>4</v>
      </c>
      <c r="K637">
        <v>13797</v>
      </c>
      <c r="L637">
        <v>0.22755014938113521</v>
      </c>
      <c r="M637" t="s">
        <v>18</v>
      </c>
    </row>
    <row r="638" spans="1:13" x14ac:dyDescent="0.3">
      <c r="A638" t="s">
        <v>1360</v>
      </c>
      <c r="B638" t="s">
        <v>1361</v>
      </c>
      <c r="C638" t="s">
        <v>44</v>
      </c>
      <c r="D638" t="s">
        <v>1362</v>
      </c>
      <c r="E638">
        <v>2495</v>
      </c>
      <c r="F638">
        <v>1549</v>
      </c>
      <c r="G638">
        <v>38</v>
      </c>
      <c r="H638">
        <v>946</v>
      </c>
      <c r="I638" t="s">
        <v>167</v>
      </c>
      <c r="J638">
        <v>4.4000000000000004</v>
      </c>
      <c r="K638">
        <v>15137</v>
      </c>
      <c r="L638">
        <v>0.22033584694875011</v>
      </c>
      <c r="M638" t="s">
        <v>18</v>
      </c>
    </row>
    <row r="639" spans="1:13" x14ac:dyDescent="0.3">
      <c r="A639" t="s">
        <v>1363</v>
      </c>
      <c r="B639" t="s">
        <v>1364</v>
      </c>
      <c r="C639" t="s">
        <v>15</v>
      </c>
      <c r="D639" t="s">
        <v>1252</v>
      </c>
      <c r="E639">
        <v>2499</v>
      </c>
      <c r="F639">
        <v>1469</v>
      </c>
      <c r="G639">
        <v>41</v>
      </c>
      <c r="H639">
        <v>1030</v>
      </c>
      <c r="I639" t="s">
        <v>64</v>
      </c>
      <c r="J639">
        <v>4.2</v>
      </c>
      <c r="K639">
        <v>156638</v>
      </c>
      <c r="L639">
        <v>0.2109375</v>
      </c>
      <c r="M639" t="s">
        <v>18</v>
      </c>
    </row>
    <row r="640" spans="1:13" x14ac:dyDescent="0.3">
      <c r="A640" t="s">
        <v>1365</v>
      </c>
      <c r="B640" t="s">
        <v>1366</v>
      </c>
      <c r="C640" t="s">
        <v>1215</v>
      </c>
      <c r="D640" t="s">
        <v>1367</v>
      </c>
      <c r="E640">
        <v>800</v>
      </c>
      <c r="F640">
        <v>198</v>
      </c>
      <c r="G640">
        <v>75</v>
      </c>
      <c r="H640">
        <v>602</v>
      </c>
      <c r="I640" t="s">
        <v>17</v>
      </c>
      <c r="J640">
        <v>4.0999999999999996</v>
      </c>
      <c r="K640">
        <v>9344</v>
      </c>
      <c r="L640">
        <v>0.26741071428571428</v>
      </c>
      <c r="M640" t="s">
        <v>18</v>
      </c>
    </row>
    <row r="641" spans="1:13" x14ac:dyDescent="0.3">
      <c r="A641" t="s">
        <v>1368</v>
      </c>
      <c r="B641" t="s">
        <v>1369</v>
      </c>
      <c r="C641" t="s">
        <v>44</v>
      </c>
      <c r="D641" t="s">
        <v>1370</v>
      </c>
      <c r="E641">
        <v>549</v>
      </c>
      <c r="F641">
        <v>549</v>
      </c>
      <c r="G641">
        <v>0</v>
      </c>
      <c r="H641">
        <v>0</v>
      </c>
      <c r="I641" t="s">
        <v>64</v>
      </c>
      <c r="J641">
        <v>4.5</v>
      </c>
      <c r="K641">
        <v>4875</v>
      </c>
      <c r="L641">
        <v>0.29791666666666661</v>
      </c>
      <c r="M641" t="s">
        <v>18</v>
      </c>
    </row>
    <row r="642" spans="1:13" x14ac:dyDescent="0.3">
      <c r="A642" t="s">
        <v>1371</v>
      </c>
      <c r="B642" t="s">
        <v>1372</v>
      </c>
      <c r="C642" t="s">
        <v>44</v>
      </c>
      <c r="D642" t="s">
        <v>706</v>
      </c>
      <c r="E642">
        <v>29999</v>
      </c>
      <c r="F642">
        <v>12000</v>
      </c>
      <c r="G642">
        <v>60</v>
      </c>
      <c r="H642">
        <v>17999</v>
      </c>
      <c r="I642" t="s">
        <v>55</v>
      </c>
      <c r="J642">
        <v>4.3</v>
      </c>
      <c r="K642">
        <v>4744</v>
      </c>
      <c r="L642">
        <v>0.18017378215654081</v>
      </c>
      <c r="M642" t="s">
        <v>18</v>
      </c>
    </row>
    <row r="643" spans="1:13" x14ac:dyDescent="0.3">
      <c r="A643" t="s">
        <v>1373</v>
      </c>
      <c r="B643" t="s">
        <v>1374</v>
      </c>
      <c r="C643" t="s">
        <v>44</v>
      </c>
      <c r="D643" t="s">
        <v>737</v>
      </c>
      <c r="E643">
        <v>3499</v>
      </c>
      <c r="F643">
        <v>1299</v>
      </c>
      <c r="G643">
        <v>63</v>
      </c>
      <c r="H643">
        <v>2200</v>
      </c>
      <c r="I643" t="s">
        <v>64</v>
      </c>
      <c r="J643">
        <v>3.9</v>
      </c>
      <c r="K643">
        <v>12452</v>
      </c>
      <c r="L643">
        <v>0.2037837837837837</v>
      </c>
      <c r="M643" t="s">
        <v>18</v>
      </c>
    </row>
    <row r="644" spans="1:13" x14ac:dyDescent="0.3">
      <c r="A644" t="s">
        <v>1375</v>
      </c>
      <c r="B644" t="s">
        <v>1376</v>
      </c>
      <c r="C644" t="s">
        <v>44</v>
      </c>
      <c r="D644" t="s">
        <v>1212</v>
      </c>
      <c r="E644">
        <v>315</v>
      </c>
      <c r="F644">
        <v>269</v>
      </c>
      <c r="G644">
        <v>15</v>
      </c>
      <c r="H644">
        <v>46</v>
      </c>
      <c r="I644" t="s">
        <v>17</v>
      </c>
      <c r="J644">
        <v>4.5</v>
      </c>
      <c r="K644">
        <v>17810</v>
      </c>
      <c r="L644">
        <v>0.1365384615384615</v>
      </c>
      <c r="M644" t="s">
        <v>18</v>
      </c>
    </row>
    <row r="645" spans="1:13" x14ac:dyDescent="0.3">
      <c r="A645" t="s">
        <v>1377</v>
      </c>
      <c r="B645" t="s">
        <v>1378</v>
      </c>
      <c r="C645" t="s">
        <v>44</v>
      </c>
      <c r="D645" t="s">
        <v>737</v>
      </c>
      <c r="E645">
        <v>1499</v>
      </c>
      <c r="F645">
        <v>799</v>
      </c>
      <c r="G645">
        <v>47</v>
      </c>
      <c r="H645">
        <v>700</v>
      </c>
      <c r="I645" t="s">
        <v>64</v>
      </c>
      <c r="J645">
        <v>4.0999999999999996</v>
      </c>
      <c r="K645">
        <v>53648</v>
      </c>
      <c r="L645">
        <v>0.33235294117647068</v>
      </c>
      <c r="M645" t="s">
        <v>18</v>
      </c>
    </row>
    <row r="646" spans="1:13" x14ac:dyDescent="0.3">
      <c r="A646" t="s">
        <v>1379</v>
      </c>
      <c r="B646" t="s">
        <v>1380</v>
      </c>
      <c r="C646" t="s">
        <v>15</v>
      </c>
      <c r="D646" t="s">
        <v>1381</v>
      </c>
      <c r="E646">
        <v>13750</v>
      </c>
      <c r="F646">
        <v>6299</v>
      </c>
      <c r="G646">
        <v>54</v>
      </c>
      <c r="H646">
        <v>7451</v>
      </c>
      <c r="I646" t="s">
        <v>55</v>
      </c>
      <c r="J646">
        <v>4.2</v>
      </c>
      <c r="K646">
        <v>2014</v>
      </c>
      <c r="L646">
        <v>0.4</v>
      </c>
      <c r="M646" t="s">
        <v>18</v>
      </c>
    </row>
    <row r="647" spans="1:13" x14ac:dyDescent="0.3">
      <c r="A647" t="s">
        <v>1382</v>
      </c>
      <c r="B647" t="s">
        <v>1383</v>
      </c>
      <c r="C647" t="s">
        <v>15</v>
      </c>
      <c r="D647" t="s">
        <v>1384</v>
      </c>
      <c r="E647">
        <v>59</v>
      </c>
      <c r="F647">
        <v>59</v>
      </c>
      <c r="G647">
        <v>0</v>
      </c>
      <c r="H647">
        <v>0</v>
      </c>
      <c r="I647" t="s">
        <v>17</v>
      </c>
      <c r="J647">
        <v>3.8</v>
      </c>
      <c r="K647">
        <v>5958</v>
      </c>
      <c r="L647">
        <v>0.3472222222222221</v>
      </c>
      <c r="M647" t="s">
        <v>18</v>
      </c>
    </row>
    <row r="648" spans="1:13" x14ac:dyDescent="0.3">
      <c r="A648" t="s">
        <v>1385</v>
      </c>
      <c r="B648" t="s">
        <v>1386</v>
      </c>
      <c r="C648" t="s">
        <v>44</v>
      </c>
      <c r="D648" t="s">
        <v>746</v>
      </c>
      <c r="E648">
        <v>999</v>
      </c>
      <c r="F648">
        <v>571</v>
      </c>
      <c r="G648">
        <v>43</v>
      </c>
      <c r="H648">
        <v>428</v>
      </c>
      <c r="I648" t="s">
        <v>64</v>
      </c>
      <c r="J648">
        <v>4.3</v>
      </c>
      <c r="K648">
        <v>38221</v>
      </c>
      <c r="L648">
        <v>0.1918997668997669</v>
      </c>
      <c r="M648" t="s">
        <v>18</v>
      </c>
    </row>
    <row r="649" spans="1:13" x14ac:dyDescent="0.3">
      <c r="A649" t="s">
        <v>1387</v>
      </c>
      <c r="B649" t="s">
        <v>1388</v>
      </c>
      <c r="C649" t="s">
        <v>44</v>
      </c>
      <c r="D649" t="s">
        <v>1318</v>
      </c>
      <c r="E649">
        <v>999</v>
      </c>
      <c r="F649">
        <v>549</v>
      </c>
      <c r="G649">
        <v>45</v>
      </c>
      <c r="H649">
        <v>450</v>
      </c>
      <c r="I649" t="s">
        <v>64</v>
      </c>
      <c r="J649">
        <v>3.9</v>
      </c>
      <c r="K649">
        <v>64705</v>
      </c>
      <c r="L649">
        <v>0.2127412587412586</v>
      </c>
      <c r="M649" t="s">
        <v>18</v>
      </c>
    </row>
    <row r="650" spans="1:13" x14ac:dyDescent="0.3">
      <c r="A650" t="s">
        <v>1389</v>
      </c>
      <c r="B650" t="s">
        <v>1390</v>
      </c>
      <c r="C650" t="s">
        <v>15</v>
      </c>
      <c r="D650" t="s">
        <v>1227</v>
      </c>
      <c r="E650">
        <v>699</v>
      </c>
      <c r="F650">
        <v>448</v>
      </c>
      <c r="G650">
        <v>36</v>
      </c>
      <c r="H650">
        <v>251</v>
      </c>
      <c r="I650" t="s">
        <v>17</v>
      </c>
      <c r="J650">
        <v>3.9</v>
      </c>
      <c r="K650">
        <v>17348</v>
      </c>
      <c r="L650">
        <v>0.1071296296296296</v>
      </c>
      <c r="M650" t="s">
        <v>18</v>
      </c>
    </row>
    <row r="651" spans="1:13" x14ac:dyDescent="0.3">
      <c r="A651" t="s">
        <v>1391</v>
      </c>
      <c r="B651" t="s">
        <v>1392</v>
      </c>
      <c r="C651" t="s">
        <v>44</v>
      </c>
      <c r="D651" t="s">
        <v>737</v>
      </c>
      <c r="E651">
        <v>2999</v>
      </c>
      <c r="F651">
        <v>1499</v>
      </c>
      <c r="G651">
        <v>50</v>
      </c>
      <c r="H651">
        <v>1500</v>
      </c>
      <c r="I651" t="s">
        <v>64</v>
      </c>
      <c r="J651">
        <v>3.7</v>
      </c>
      <c r="K651">
        <v>87798</v>
      </c>
      <c r="L651">
        <v>0.20507151578580141</v>
      </c>
      <c r="M651" t="s">
        <v>18</v>
      </c>
    </row>
    <row r="652" spans="1:13" x14ac:dyDescent="0.3">
      <c r="A652" t="s">
        <v>1393</v>
      </c>
      <c r="B652" t="s">
        <v>1394</v>
      </c>
      <c r="C652" t="s">
        <v>44</v>
      </c>
      <c r="D652" t="s">
        <v>1395</v>
      </c>
      <c r="E652">
        <v>499</v>
      </c>
      <c r="F652">
        <v>299</v>
      </c>
      <c r="G652">
        <v>40</v>
      </c>
      <c r="H652">
        <v>200</v>
      </c>
      <c r="I652" t="s">
        <v>17</v>
      </c>
      <c r="J652">
        <v>4.2</v>
      </c>
      <c r="K652">
        <v>24432</v>
      </c>
      <c r="L652">
        <v>0.4408333333333333</v>
      </c>
      <c r="M652" t="s">
        <v>18</v>
      </c>
    </row>
    <row r="653" spans="1:13" x14ac:dyDescent="0.3">
      <c r="A653" t="s">
        <v>1396</v>
      </c>
      <c r="B653" t="s">
        <v>1397</v>
      </c>
      <c r="C653" t="s">
        <v>15</v>
      </c>
      <c r="D653" t="s">
        <v>1168</v>
      </c>
      <c r="E653">
        <v>1400</v>
      </c>
      <c r="F653">
        <v>579</v>
      </c>
      <c r="G653">
        <v>59</v>
      </c>
      <c r="H653">
        <v>821</v>
      </c>
      <c r="I653" t="s">
        <v>64</v>
      </c>
      <c r="J653">
        <v>4.3</v>
      </c>
      <c r="K653">
        <v>189104</v>
      </c>
      <c r="L653">
        <v>0.13122255581933001</v>
      </c>
      <c r="M653" t="s">
        <v>18</v>
      </c>
    </row>
    <row r="654" spans="1:13" x14ac:dyDescent="0.3">
      <c r="A654" t="s">
        <v>1398</v>
      </c>
      <c r="B654" t="s">
        <v>1399</v>
      </c>
      <c r="C654" t="s">
        <v>44</v>
      </c>
      <c r="D654" t="s">
        <v>1400</v>
      </c>
      <c r="E654">
        <v>3299</v>
      </c>
      <c r="F654">
        <v>2499</v>
      </c>
      <c r="G654">
        <v>24</v>
      </c>
      <c r="H654">
        <v>800</v>
      </c>
      <c r="I654" t="s">
        <v>167</v>
      </c>
      <c r="J654">
        <v>4.2</v>
      </c>
      <c r="K654">
        <v>93112</v>
      </c>
      <c r="L654">
        <v>0.1952701571932341</v>
      </c>
      <c r="M654" t="s">
        <v>18</v>
      </c>
    </row>
    <row r="655" spans="1:13" x14ac:dyDescent="0.3">
      <c r="A655" t="s">
        <v>1401</v>
      </c>
      <c r="B655" t="s">
        <v>1402</v>
      </c>
      <c r="C655" t="s">
        <v>44</v>
      </c>
      <c r="D655" t="s">
        <v>737</v>
      </c>
      <c r="E655">
        <v>5999</v>
      </c>
      <c r="F655">
        <v>1199</v>
      </c>
      <c r="G655">
        <v>80</v>
      </c>
      <c r="H655">
        <v>4800</v>
      </c>
      <c r="I655" t="s">
        <v>64</v>
      </c>
      <c r="J655">
        <v>3.9</v>
      </c>
      <c r="K655">
        <v>47521</v>
      </c>
      <c r="L655">
        <v>0.1204124149659863</v>
      </c>
      <c r="M655" t="s">
        <v>18</v>
      </c>
    </row>
    <row r="656" spans="1:13" x14ac:dyDescent="0.3">
      <c r="A656" t="s">
        <v>1403</v>
      </c>
      <c r="B656" t="s">
        <v>1404</v>
      </c>
      <c r="C656" t="s">
        <v>44</v>
      </c>
      <c r="D656" t="s">
        <v>1345</v>
      </c>
      <c r="E656">
        <v>499</v>
      </c>
      <c r="F656">
        <v>399</v>
      </c>
      <c r="G656">
        <v>20</v>
      </c>
      <c r="H656">
        <v>100</v>
      </c>
      <c r="I656" t="s">
        <v>17</v>
      </c>
      <c r="J656">
        <v>4.3</v>
      </c>
      <c r="K656">
        <v>27201</v>
      </c>
      <c r="L656">
        <v>0.38831168831168827</v>
      </c>
      <c r="M656" t="s">
        <v>18</v>
      </c>
    </row>
    <row r="657" spans="1:13" x14ac:dyDescent="0.3">
      <c r="A657" t="s">
        <v>1405</v>
      </c>
      <c r="B657" t="s">
        <v>1406</v>
      </c>
      <c r="C657" t="s">
        <v>15</v>
      </c>
      <c r="D657" t="s">
        <v>1171</v>
      </c>
      <c r="E657">
        <v>375</v>
      </c>
      <c r="F657">
        <v>279</v>
      </c>
      <c r="G657">
        <v>26</v>
      </c>
      <c r="H657">
        <v>96</v>
      </c>
      <c r="I657" t="s">
        <v>17</v>
      </c>
      <c r="J657">
        <v>4.3</v>
      </c>
      <c r="K657">
        <v>31534</v>
      </c>
      <c r="L657">
        <v>0.67909090909090897</v>
      </c>
      <c r="M657" t="s">
        <v>18</v>
      </c>
    </row>
    <row r="658" spans="1:13" x14ac:dyDescent="0.3">
      <c r="A658" t="s">
        <v>1407</v>
      </c>
      <c r="B658" t="s">
        <v>1408</v>
      </c>
      <c r="C658" t="s">
        <v>44</v>
      </c>
      <c r="D658" t="s">
        <v>706</v>
      </c>
      <c r="E658">
        <v>4999</v>
      </c>
      <c r="F658">
        <v>2499</v>
      </c>
      <c r="G658">
        <v>50</v>
      </c>
      <c r="H658">
        <v>2500</v>
      </c>
      <c r="I658" t="s">
        <v>167</v>
      </c>
      <c r="J658">
        <v>3.9</v>
      </c>
      <c r="K658">
        <v>7571</v>
      </c>
      <c r="L658">
        <v>0.3952973342447027</v>
      </c>
      <c r="M658" t="s">
        <v>18</v>
      </c>
    </row>
    <row r="659" spans="1:13" x14ac:dyDescent="0.3">
      <c r="A659" t="s">
        <v>1409</v>
      </c>
      <c r="B659" t="s">
        <v>1410</v>
      </c>
      <c r="C659" t="s">
        <v>1215</v>
      </c>
      <c r="D659" t="s">
        <v>1340</v>
      </c>
      <c r="E659">
        <v>160</v>
      </c>
      <c r="F659">
        <v>137</v>
      </c>
      <c r="G659">
        <v>14</v>
      </c>
      <c r="H659">
        <v>23</v>
      </c>
      <c r="I659" t="s">
        <v>17</v>
      </c>
      <c r="J659">
        <v>4.4000000000000004</v>
      </c>
      <c r="K659">
        <v>6537</v>
      </c>
      <c r="L659">
        <v>0.34475446428571432</v>
      </c>
      <c r="M659" t="s">
        <v>18</v>
      </c>
    </row>
    <row r="660" spans="1:13" x14ac:dyDescent="0.3">
      <c r="A660" t="s">
        <v>1411</v>
      </c>
      <c r="B660" t="s">
        <v>1412</v>
      </c>
      <c r="C660" t="s">
        <v>15</v>
      </c>
      <c r="D660" t="s">
        <v>1285</v>
      </c>
      <c r="E660">
        <v>499</v>
      </c>
      <c r="F660">
        <v>299</v>
      </c>
      <c r="G660">
        <v>40</v>
      </c>
      <c r="H660">
        <v>200</v>
      </c>
      <c r="I660" t="s">
        <v>17</v>
      </c>
      <c r="J660">
        <v>4.5</v>
      </c>
      <c r="K660">
        <v>21010</v>
      </c>
      <c r="L660">
        <v>0.31130952380952381</v>
      </c>
      <c r="M660" t="s">
        <v>18</v>
      </c>
    </row>
    <row r="661" spans="1:13" x14ac:dyDescent="0.3">
      <c r="A661" t="s">
        <v>1413</v>
      </c>
      <c r="B661" t="s">
        <v>1414</v>
      </c>
      <c r="C661" t="s">
        <v>44</v>
      </c>
      <c r="D661" t="s">
        <v>737</v>
      </c>
      <c r="E661">
        <v>3999</v>
      </c>
      <c r="F661">
        <v>1799</v>
      </c>
      <c r="G661">
        <v>55</v>
      </c>
      <c r="H661">
        <v>2200</v>
      </c>
      <c r="I661" t="s">
        <v>167</v>
      </c>
      <c r="J661">
        <v>3.9</v>
      </c>
      <c r="K661">
        <v>3517</v>
      </c>
      <c r="L661">
        <v>0.38950000000000001</v>
      </c>
      <c r="M661" t="s">
        <v>18</v>
      </c>
    </row>
    <row r="662" spans="1:13" x14ac:dyDescent="0.3">
      <c r="A662" t="s">
        <v>1415</v>
      </c>
      <c r="B662" t="s">
        <v>1416</v>
      </c>
      <c r="C662" t="s">
        <v>44</v>
      </c>
      <c r="D662" t="s">
        <v>1318</v>
      </c>
      <c r="E662">
        <v>2999</v>
      </c>
      <c r="F662">
        <v>1999</v>
      </c>
      <c r="G662">
        <v>33</v>
      </c>
      <c r="H662">
        <v>1000</v>
      </c>
      <c r="I662" t="s">
        <v>167</v>
      </c>
      <c r="J662">
        <v>4.3</v>
      </c>
      <c r="K662">
        <v>63899</v>
      </c>
      <c r="L662">
        <v>0.26192361111111112</v>
      </c>
      <c r="M662" t="s">
        <v>18</v>
      </c>
    </row>
    <row r="663" spans="1:13" x14ac:dyDescent="0.3">
      <c r="A663" t="s">
        <v>1417</v>
      </c>
      <c r="B663" t="s">
        <v>1418</v>
      </c>
      <c r="C663" t="s">
        <v>15</v>
      </c>
      <c r="D663" t="s">
        <v>918</v>
      </c>
      <c r="E663">
        <v>1499</v>
      </c>
      <c r="F663">
        <v>399</v>
      </c>
      <c r="G663">
        <v>73</v>
      </c>
      <c r="H663">
        <v>1100</v>
      </c>
      <c r="I663" t="s">
        <v>17</v>
      </c>
      <c r="J663">
        <v>4.0999999999999996</v>
      </c>
      <c r="K663">
        <v>5730</v>
      </c>
      <c r="L663">
        <v>0.36125000000000002</v>
      </c>
      <c r="M663" t="s">
        <v>18</v>
      </c>
    </row>
    <row r="664" spans="1:13" x14ac:dyDescent="0.3">
      <c r="A664" t="s">
        <v>1419</v>
      </c>
      <c r="B664" t="s">
        <v>1420</v>
      </c>
      <c r="C664" t="s">
        <v>15</v>
      </c>
      <c r="D664" t="s">
        <v>1421</v>
      </c>
      <c r="E664">
        <v>3999</v>
      </c>
      <c r="F664">
        <v>1699</v>
      </c>
      <c r="G664">
        <v>58</v>
      </c>
      <c r="H664">
        <v>2300</v>
      </c>
      <c r="I664" t="s">
        <v>167</v>
      </c>
      <c r="J664">
        <v>4.2</v>
      </c>
      <c r="K664">
        <v>25488</v>
      </c>
      <c r="L664">
        <v>0.421296992481203</v>
      </c>
      <c r="M664" t="s">
        <v>18</v>
      </c>
    </row>
    <row r="665" spans="1:13" x14ac:dyDescent="0.3">
      <c r="A665" t="s">
        <v>1422</v>
      </c>
      <c r="B665" t="s">
        <v>1423</v>
      </c>
      <c r="C665" t="s">
        <v>15</v>
      </c>
      <c r="D665" t="s">
        <v>1171</v>
      </c>
      <c r="E665">
        <v>995</v>
      </c>
      <c r="F665">
        <v>699</v>
      </c>
      <c r="G665">
        <v>30</v>
      </c>
      <c r="H665">
        <v>296</v>
      </c>
      <c r="I665" t="s">
        <v>64</v>
      </c>
      <c r="J665">
        <v>4.5</v>
      </c>
      <c r="K665">
        <v>54405</v>
      </c>
      <c r="L665">
        <v>0.19005476190476189</v>
      </c>
      <c r="M665" t="s">
        <v>18</v>
      </c>
    </row>
    <row r="666" spans="1:13" x14ac:dyDescent="0.3">
      <c r="A666" t="s">
        <v>1424</v>
      </c>
      <c r="B666" t="s">
        <v>1425</v>
      </c>
      <c r="C666" t="s">
        <v>15</v>
      </c>
      <c r="D666" t="s">
        <v>1302</v>
      </c>
      <c r="E666">
        <v>1699</v>
      </c>
      <c r="F666">
        <v>1149</v>
      </c>
      <c r="G666">
        <v>32</v>
      </c>
      <c r="H666">
        <v>550</v>
      </c>
      <c r="I666" t="s">
        <v>64</v>
      </c>
      <c r="J666">
        <v>4.2</v>
      </c>
      <c r="K666">
        <v>122478</v>
      </c>
      <c r="L666">
        <v>0.42314814814814811</v>
      </c>
      <c r="M666" t="s">
        <v>18</v>
      </c>
    </row>
    <row r="667" spans="1:13" x14ac:dyDescent="0.3">
      <c r="A667" t="s">
        <v>1426</v>
      </c>
      <c r="B667" t="s">
        <v>1427</v>
      </c>
      <c r="C667" t="s">
        <v>15</v>
      </c>
      <c r="D667" t="s">
        <v>1227</v>
      </c>
      <c r="E667">
        <v>1995</v>
      </c>
      <c r="F667">
        <v>1495</v>
      </c>
      <c r="G667">
        <v>25</v>
      </c>
      <c r="H667">
        <v>500</v>
      </c>
      <c r="I667" t="s">
        <v>64</v>
      </c>
      <c r="J667">
        <v>4.3</v>
      </c>
      <c r="K667">
        <v>7241</v>
      </c>
      <c r="L667">
        <v>0.32544871794871788</v>
      </c>
      <c r="M667" t="s">
        <v>18</v>
      </c>
    </row>
    <row r="668" spans="1:13" x14ac:dyDescent="0.3">
      <c r="A668" t="s">
        <v>1428</v>
      </c>
      <c r="B668" t="s">
        <v>1429</v>
      </c>
      <c r="C668" t="s">
        <v>15</v>
      </c>
      <c r="D668" t="s">
        <v>1179</v>
      </c>
      <c r="E668">
        <v>4999</v>
      </c>
      <c r="F668">
        <v>849</v>
      </c>
      <c r="G668">
        <v>83</v>
      </c>
      <c r="H668">
        <v>4150</v>
      </c>
      <c r="I668" t="s">
        <v>64</v>
      </c>
      <c r="J668">
        <v>4</v>
      </c>
      <c r="K668">
        <v>20457</v>
      </c>
      <c r="L668">
        <v>-0.11874999999999999</v>
      </c>
      <c r="M668" t="s">
        <v>69</v>
      </c>
    </row>
    <row r="669" spans="1:13" x14ac:dyDescent="0.3">
      <c r="A669" t="s">
        <v>1430</v>
      </c>
      <c r="B669" t="s">
        <v>1431</v>
      </c>
      <c r="C669" t="s">
        <v>1215</v>
      </c>
      <c r="D669" t="s">
        <v>1432</v>
      </c>
      <c r="E669">
        <v>440</v>
      </c>
      <c r="F669">
        <v>440</v>
      </c>
      <c r="G669">
        <v>0</v>
      </c>
      <c r="H669">
        <v>0</v>
      </c>
      <c r="I669" t="s">
        <v>17</v>
      </c>
      <c r="J669">
        <v>4.5</v>
      </c>
      <c r="K669">
        <v>8610</v>
      </c>
      <c r="L669">
        <v>0.434</v>
      </c>
      <c r="M669" t="s">
        <v>18</v>
      </c>
    </row>
    <row r="670" spans="1:13" x14ac:dyDescent="0.3">
      <c r="A670" t="s">
        <v>1433</v>
      </c>
      <c r="B670" t="s">
        <v>1434</v>
      </c>
      <c r="C670" t="s">
        <v>15</v>
      </c>
      <c r="D670" t="s">
        <v>1179</v>
      </c>
      <c r="E670">
        <v>3999</v>
      </c>
      <c r="F670">
        <v>599</v>
      </c>
      <c r="G670">
        <v>85</v>
      </c>
      <c r="H670">
        <v>3400</v>
      </c>
      <c r="I670" t="s">
        <v>64</v>
      </c>
      <c r="J670">
        <v>3.9</v>
      </c>
      <c r="K670">
        <v>1087</v>
      </c>
      <c r="L670">
        <v>0.32284313725490188</v>
      </c>
      <c r="M670" t="s">
        <v>18</v>
      </c>
    </row>
    <row r="671" spans="1:13" x14ac:dyDescent="0.3">
      <c r="A671" t="s">
        <v>1435</v>
      </c>
      <c r="B671" t="s">
        <v>1436</v>
      </c>
      <c r="C671" t="s">
        <v>15</v>
      </c>
      <c r="D671" t="s">
        <v>1355</v>
      </c>
      <c r="E671">
        <v>399</v>
      </c>
      <c r="F671">
        <v>149</v>
      </c>
      <c r="G671">
        <v>63</v>
      </c>
      <c r="H671">
        <v>250</v>
      </c>
      <c r="I671" t="s">
        <v>17</v>
      </c>
      <c r="J671">
        <v>4</v>
      </c>
      <c r="K671">
        <v>1540</v>
      </c>
      <c r="L671">
        <v>0.34277777777777779</v>
      </c>
      <c r="M671" t="s">
        <v>18</v>
      </c>
    </row>
    <row r="672" spans="1:13" x14ac:dyDescent="0.3">
      <c r="A672" t="s">
        <v>1437</v>
      </c>
      <c r="B672" t="s">
        <v>1438</v>
      </c>
      <c r="C672" t="s">
        <v>15</v>
      </c>
      <c r="D672" t="s">
        <v>1174</v>
      </c>
      <c r="E672">
        <v>999</v>
      </c>
      <c r="F672">
        <v>289</v>
      </c>
      <c r="G672">
        <v>71</v>
      </c>
      <c r="H672">
        <v>710</v>
      </c>
      <c r="I672" t="s">
        <v>17</v>
      </c>
      <c r="J672">
        <v>4.0999999999999996</v>
      </c>
      <c r="K672">
        <v>401</v>
      </c>
      <c r="L672">
        <v>0.162797619047619</v>
      </c>
      <c r="M672" t="s">
        <v>18</v>
      </c>
    </row>
    <row r="673" spans="1:13" x14ac:dyDescent="0.3">
      <c r="A673" t="s">
        <v>1439</v>
      </c>
      <c r="B673" t="s">
        <v>1440</v>
      </c>
      <c r="C673" t="s">
        <v>15</v>
      </c>
      <c r="D673" t="s">
        <v>1441</v>
      </c>
      <c r="E673">
        <v>499</v>
      </c>
      <c r="F673">
        <v>179</v>
      </c>
      <c r="G673">
        <v>64</v>
      </c>
      <c r="H673">
        <v>320</v>
      </c>
      <c r="I673" t="s">
        <v>17</v>
      </c>
      <c r="J673">
        <v>3.4</v>
      </c>
      <c r="K673">
        <v>9385</v>
      </c>
      <c r="L673">
        <v>0.20466666666666661</v>
      </c>
      <c r="M673" t="s">
        <v>18</v>
      </c>
    </row>
    <row r="674" spans="1:13" x14ac:dyDescent="0.3">
      <c r="A674" t="s">
        <v>1442</v>
      </c>
      <c r="B674" t="s">
        <v>1443</v>
      </c>
      <c r="C674" t="s">
        <v>44</v>
      </c>
      <c r="D674" t="s">
        <v>706</v>
      </c>
      <c r="E674">
        <v>4999</v>
      </c>
      <c r="F674">
        <v>1499</v>
      </c>
      <c r="G674">
        <v>70</v>
      </c>
      <c r="H674">
        <v>3500</v>
      </c>
      <c r="I674" t="s">
        <v>64</v>
      </c>
      <c r="J674">
        <v>4</v>
      </c>
      <c r="K674">
        <v>92588</v>
      </c>
      <c r="L674">
        <v>0.27499999999999991</v>
      </c>
      <c r="M674" t="s">
        <v>18</v>
      </c>
    </row>
    <row r="675" spans="1:13" x14ac:dyDescent="0.3">
      <c r="A675" t="s">
        <v>1444</v>
      </c>
      <c r="B675" t="s">
        <v>1445</v>
      </c>
      <c r="C675" t="s">
        <v>44</v>
      </c>
      <c r="D675" t="s">
        <v>737</v>
      </c>
      <c r="E675">
        <v>699</v>
      </c>
      <c r="F675">
        <v>399</v>
      </c>
      <c r="G675">
        <v>43</v>
      </c>
      <c r="H675">
        <v>300</v>
      </c>
      <c r="I675" t="s">
        <v>17</v>
      </c>
      <c r="J675">
        <v>3.4</v>
      </c>
      <c r="K675">
        <v>3454</v>
      </c>
      <c r="L675">
        <v>0.12444347657762291</v>
      </c>
      <c r="M675" t="s">
        <v>18</v>
      </c>
    </row>
    <row r="676" spans="1:13" x14ac:dyDescent="0.3">
      <c r="A676" t="s">
        <v>1446</v>
      </c>
      <c r="B676" t="s">
        <v>1447</v>
      </c>
      <c r="C676" t="s">
        <v>15</v>
      </c>
      <c r="D676" t="s">
        <v>1276</v>
      </c>
      <c r="E676">
        <v>799</v>
      </c>
      <c r="F676">
        <v>599</v>
      </c>
      <c r="G676">
        <v>25</v>
      </c>
      <c r="H676">
        <v>200</v>
      </c>
      <c r="I676" t="s">
        <v>64</v>
      </c>
      <c r="J676">
        <v>4.3</v>
      </c>
      <c r="K676">
        <v>15790</v>
      </c>
      <c r="L676">
        <v>0.34061710398445089</v>
      </c>
      <c r="M676" t="s">
        <v>18</v>
      </c>
    </row>
    <row r="677" spans="1:13" x14ac:dyDescent="0.3">
      <c r="A677" t="s">
        <v>1448</v>
      </c>
      <c r="B677" t="s">
        <v>1449</v>
      </c>
      <c r="C677" t="s">
        <v>15</v>
      </c>
      <c r="D677" t="s">
        <v>1450</v>
      </c>
      <c r="E677">
        <v>2000</v>
      </c>
      <c r="F677">
        <v>949</v>
      </c>
      <c r="G677">
        <v>53</v>
      </c>
      <c r="H677">
        <v>1051</v>
      </c>
      <c r="I677" t="s">
        <v>64</v>
      </c>
      <c r="J677">
        <v>3.9</v>
      </c>
      <c r="K677">
        <v>14969</v>
      </c>
      <c r="L677">
        <v>0.54444444444444451</v>
      </c>
      <c r="M677" t="s">
        <v>18</v>
      </c>
    </row>
    <row r="678" spans="1:13" x14ac:dyDescent="0.3">
      <c r="A678" t="s">
        <v>1451</v>
      </c>
      <c r="B678" t="s">
        <v>1452</v>
      </c>
      <c r="C678" t="s">
        <v>44</v>
      </c>
      <c r="D678" t="s">
        <v>706</v>
      </c>
      <c r="E678">
        <v>9999</v>
      </c>
      <c r="F678">
        <v>2499</v>
      </c>
      <c r="G678">
        <v>75</v>
      </c>
      <c r="H678">
        <v>7500</v>
      </c>
      <c r="I678" t="s">
        <v>167</v>
      </c>
      <c r="J678">
        <v>4.0999999999999996</v>
      </c>
      <c r="K678">
        <v>42139</v>
      </c>
      <c r="L678">
        <v>0.36651785714285712</v>
      </c>
      <c r="M678" t="s">
        <v>18</v>
      </c>
    </row>
    <row r="679" spans="1:13" x14ac:dyDescent="0.3">
      <c r="A679" t="s">
        <v>1453</v>
      </c>
      <c r="B679" t="s">
        <v>1454</v>
      </c>
      <c r="C679" t="s">
        <v>44</v>
      </c>
      <c r="D679" t="s">
        <v>1212</v>
      </c>
      <c r="E679">
        <v>180</v>
      </c>
      <c r="F679">
        <v>159</v>
      </c>
      <c r="G679">
        <v>12</v>
      </c>
      <c r="H679">
        <v>21</v>
      </c>
      <c r="I679" t="s">
        <v>17</v>
      </c>
      <c r="J679">
        <v>4.3</v>
      </c>
      <c r="K679">
        <v>989</v>
      </c>
      <c r="L679">
        <v>0.69999999999999984</v>
      </c>
      <c r="M679" t="s">
        <v>18</v>
      </c>
    </row>
    <row r="680" spans="1:13" x14ac:dyDescent="0.3">
      <c r="A680" t="s">
        <v>1455</v>
      </c>
      <c r="B680" t="s">
        <v>1456</v>
      </c>
      <c r="C680" t="s">
        <v>44</v>
      </c>
      <c r="D680" t="s">
        <v>727</v>
      </c>
      <c r="E680">
        <v>2900</v>
      </c>
      <c r="F680">
        <v>1329</v>
      </c>
      <c r="G680">
        <v>54</v>
      </c>
      <c r="H680">
        <v>1571</v>
      </c>
      <c r="I680" t="s">
        <v>64</v>
      </c>
      <c r="J680">
        <v>4.5</v>
      </c>
      <c r="K680">
        <v>19624</v>
      </c>
      <c r="L680">
        <v>0.29486111111111118</v>
      </c>
      <c r="M680" t="s">
        <v>18</v>
      </c>
    </row>
    <row r="681" spans="1:13" x14ac:dyDescent="0.3">
      <c r="A681" t="s">
        <v>1457</v>
      </c>
      <c r="B681" t="s">
        <v>1458</v>
      </c>
      <c r="C681" t="s">
        <v>15</v>
      </c>
      <c r="D681" t="s">
        <v>1441</v>
      </c>
      <c r="E681">
        <v>999</v>
      </c>
      <c r="F681">
        <v>570</v>
      </c>
      <c r="G681">
        <v>43</v>
      </c>
      <c r="H681">
        <v>429</v>
      </c>
      <c r="I681" t="s">
        <v>64</v>
      </c>
      <c r="J681">
        <v>4.2</v>
      </c>
      <c r="K681">
        <v>3201</v>
      </c>
      <c r="L681">
        <v>0.11659611992945321</v>
      </c>
      <c r="M681" t="s">
        <v>18</v>
      </c>
    </row>
    <row r="682" spans="1:13" x14ac:dyDescent="0.3">
      <c r="A682" t="s">
        <v>1459</v>
      </c>
      <c r="B682" t="s">
        <v>1460</v>
      </c>
      <c r="C682" t="s">
        <v>44</v>
      </c>
      <c r="D682" t="s">
        <v>1461</v>
      </c>
      <c r="E682">
        <v>1999</v>
      </c>
      <c r="F682">
        <v>899</v>
      </c>
      <c r="G682">
        <v>55</v>
      </c>
      <c r="H682">
        <v>1100</v>
      </c>
      <c r="I682" t="s">
        <v>64</v>
      </c>
      <c r="J682">
        <v>4.0999999999999996</v>
      </c>
      <c r="K682">
        <v>30469</v>
      </c>
      <c r="L682">
        <v>0.308859649122807</v>
      </c>
      <c r="M682" t="s">
        <v>18</v>
      </c>
    </row>
    <row r="683" spans="1:13" x14ac:dyDescent="0.3">
      <c r="A683" t="s">
        <v>1462</v>
      </c>
      <c r="B683" t="s">
        <v>1463</v>
      </c>
      <c r="C683" t="s">
        <v>15</v>
      </c>
      <c r="D683" t="s">
        <v>1464</v>
      </c>
      <c r="E683">
        <v>999</v>
      </c>
      <c r="F683">
        <v>449</v>
      </c>
      <c r="G683">
        <v>55</v>
      </c>
      <c r="H683">
        <v>550</v>
      </c>
      <c r="I683" t="s">
        <v>17</v>
      </c>
      <c r="J683">
        <v>4.4000000000000004</v>
      </c>
      <c r="K683">
        <v>9940</v>
      </c>
      <c r="L683">
        <v>0.20555555555555549</v>
      </c>
      <c r="M683" t="s">
        <v>18</v>
      </c>
    </row>
    <row r="684" spans="1:13" x14ac:dyDescent="0.3">
      <c r="A684" t="s">
        <v>1465</v>
      </c>
      <c r="B684" t="s">
        <v>1466</v>
      </c>
      <c r="C684" t="s">
        <v>15</v>
      </c>
      <c r="D684" t="s">
        <v>1467</v>
      </c>
      <c r="E684">
        <v>999</v>
      </c>
      <c r="F684">
        <v>549</v>
      </c>
      <c r="G684">
        <v>45</v>
      </c>
      <c r="H684">
        <v>450</v>
      </c>
      <c r="I684" t="s">
        <v>64</v>
      </c>
      <c r="J684">
        <v>4.3</v>
      </c>
      <c r="K684">
        <v>7758</v>
      </c>
      <c r="L684">
        <v>0.27777777777777779</v>
      </c>
      <c r="M684" t="s">
        <v>18</v>
      </c>
    </row>
    <row r="685" spans="1:13" x14ac:dyDescent="0.3">
      <c r="A685" t="s">
        <v>1468</v>
      </c>
      <c r="B685" t="s">
        <v>1469</v>
      </c>
      <c r="C685" t="s">
        <v>15</v>
      </c>
      <c r="D685" t="s">
        <v>1302</v>
      </c>
      <c r="E685">
        <v>2399</v>
      </c>
      <c r="F685">
        <v>1529</v>
      </c>
      <c r="G685">
        <v>36</v>
      </c>
      <c r="H685">
        <v>870</v>
      </c>
      <c r="I685" t="s">
        <v>167</v>
      </c>
      <c r="J685">
        <v>4.3</v>
      </c>
      <c r="K685">
        <v>68409</v>
      </c>
      <c r="L685">
        <v>0.13555674283522379</v>
      </c>
      <c r="M685" t="s">
        <v>18</v>
      </c>
    </row>
    <row r="686" spans="1:13" x14ac:dyDescent="0.3">
      <c r="A686" t="s">
        <v>1470</v>
      </c>
      <c r="B686" t="s">
        <v>1471</v>
      </c>
      <c r="C686" t="s">
        <v>1215</v>
      </c>
      <c r="D686" t="s">
        <v>1472</v>
      </c>
      <c r="E686">
        <v>100</v>
      </c>
      <c r="F686">
        <v>100</v>
      </c>
      <c r="G686">
        <v>0</v>
      </c>
      <c r="H686">
        <v>0</v>
      </c>
      <c r="I686" t="s">
        <v>17</v>
      </c>
      <c r="J686">
        <v>4.3</v>
      </c>
      <c r="K686">
        <v>3095</v>
      </c>
      <c r="L686">
        <v>0.22363636363636361</v>
      </c>
      <c r="M686" t="s">
        <v>18</v>
      </c>
    </row>
    <row r="687" spans="1:13" x14ac:dyDescent="0.3">
      <c r="A687" t="s">
        <v>1473</v>
      </c>
      <c r="B687" t="s">
        <v>1474</v>
      </c>
      <c r="C687" t="s">
        <v>15</v>
      </c>
      <c r="D687" t="s">
        <v>1184</v>
      </c>
      <c r="E687">
        <v>1499</v>
      </c>
      <c r="F687">
        <v>299</v>
      </c>
      <c r="G687">
        <v>80</v>
      </c>
      <c r="H687">
        <v>1200</v>
      </c>
      <c r="I687" t="s">
        <v>17</v>
      </c>
      <c r="J687">
        <v>4.2</v>
      </c>
      <c r="K687">
        <v>903</v>
      </c>
      <c r="L687">
        <v>0.29166666666666669</v>
      </c>
      <c r="M687" t="s">
        <v>18</v>
      </c>
    </row>
    <row r="688" spans="1:13" x14ac:dyDescent="0.3">
      <c r="A688" t="s">
        <v>1475</v>
      </c>
      <c r="B688" t="s">
        <v>1476</v>
      </c>
      <c r="C688" t="s">
        <v>15</v>
      </c>
      <c r="D688" t="s">
        <v>1227</v>
      </c>
      <c r="E688">
        <v>1795</v>
      </c>
      <c r="F688">
        <v>1295</v>
      </c>
      <c r="G688">
        <v>28</v>
      </c>
      <c r="H688">
        <v>500</v>
      </c>
      <c r="I688" t="s">
        <v>64</v>
      </c>
      <c r="J688">
        <v>4.0999999999999996</v>
      </c>
      <c r="K688">
        <v>25771</v>
      </c>
      <c r="L688">
        <v>0.10240105639041799</v>
      </c>
      <c r="M688" t="s">
        <v>18</v>
      </c>
    </row>
    <row r="689" spans="1:13" x14ac:dyDescent="0.3">
      <c r="A689" t="s">
        <v>1477</v>
      </c>
      <c r="B689" t="s">
        <v>1478</v>
      </c>
      <c r="C689" t="s">
        <v>44</v>
      </c>
      <c r="D689" t="s">
        <v>737</v>
      </c>
      <c r="E689">
        <v>999</v>
      </c>
      <c r="F689">
        <v>699</v>
      </c>
      <c r="G689">
        <v>30</v>
      </c>
      <c r="H689">
        <v>300</v>
      </c>
      <c r="I689" t="s">
        <v>64</v>
      </c>
      <c r="J689">
        <v>4.0999999999999996</v>
      </c>
      <c r="K689">
        <v>273189</v>
      </c>
      <c r="L689">
        <v>0.24001332001331999</v>
      </c>
      <c r="M689" t="s">
        <v>18</v>
      </c>
    </row>
    <row r="690" spans="1:13" x14ac:dyDescent="0.3">
      <c r="A690" t="s">
        <v>1479</v>
      </c>
      <c r="B690" t="s">
        <v>1480</v>
      </c>
      <c r="C690" t="s">
        <v>1215</v>
      </c>
      <c r="D690" t="s">
        <v>1481</v>
      </c>
      <c r="E690">
        <v>315</v>
      </c>
      <c r="F690">
        <v>252</v>
      </c>
      <c r="G690">
        <v>20</v>
      </c>
      <c r="H690">
        <v>63</v>
      </c>
      <c r="I690" t="s">
        <v>17</v>
      </c>
      <c r="J690">
        <v>4.5</v>
      </c>
      <c r="K690">
        <v>3785</v>
      </c>
      <c r="L690">
        <v>0.16898148148148151</v>
      </c>
      <c r="M690" t="s">
        <v>18</v>
      </c>
    </row>
    <row r="691" spans="1:13" x14ac:dyDescent="0.3">
      <c r="A691" t="s">
        <v>1482</v>
      </c>
      <c r="B691" t="s">
        <v>1483</v>
      </c>
      <c r="C691" t="s">
        <v>44</v>
      </c>
      <c r="D691" t="s">
        <v>1212</v>
      </c>
      <c r="E691">
        <v>220</v>
      </c>
      <c r="F691">
        <v>190</v>
      </c>
      <c r="G691">
        <v>14</v>
      </c>
      <c r="H691">
        <v>30</v>
      </c>
      <c r="I691" t="s">
        <v>17</v>
      </c>
      <c r="J691">
        <v>4.4000000000000004</v>
      </c>
      <c r="K691">
        <v>2866</v>
      </c>
      <c r="L691">
        <v>0.1962962962962963</v>
      </c>
      <c r="M691" t="s">
        <v>18</v>
      </c>
    </row>
    <row r="692" spans="1:13" x14ac:dyDescent="0.3">
      <c r="A692" t="s">
        <v>1484</v>
      </c>
      <c r="B692" t="s">
        <v>1485</v>
      </c>
      <c r="C692" t="s">
        <v>15</v>
      </c>
      <c r="D692" t="s">
        <v>1227</v>
      </c>
      <c r="E692">
        <v>1599</v>
      </c>
      <c r="F692">
        <v>1299</v>
      </c>
      <c r="G692">
        <v>19</v>
      </c>
      <c r="H692">
        <v>300</v>
      </c>
      <c r="I692" t="s">
        <v>64</v>
      </c>
      <c r="J692">
        <v>4.3</v>
      </c>
      <c r="K692">
        <v>27223</v>
      </c>
      <c r="L692">
        <v>0.30685941043083897</v>
      </c>
      <c r="M692" t="s">
        <v>18</v>
      </c>
    </row>
    <row r="693" spans="1:13" x14ac:dyDescent="0.3">
      <c r="A693" t="s">
        <v>1486</v>
      </c>
      <c r="B693" t="s">
        <v>1487</v>
      </c>
      <c r="C693" t="s">
        <v>15</v>
      </c>
      <c r="D693" t="s">
        <v>1168</v>
      </c>
      <c r="E693">
        <v>1650</v>
      </c>
      <c r="F693">
        <v>729</v>
      </c>
      <c r="G693">
        <v>56</v>
      </c>
      <c r="H693">
        <v>921</v>
      </c>
      <c r="I693" t="s">
        <v>64</v>
      </c>
      <c r="J693">
        <v>4.3</v>
      </c>
      <c r="K693">
        <v>82356</v>
      </c>
      <c r="L693">
        <v>0.1591666666666666</v>
      </c>
      <c r="M693" t="s">
        <v>18</v>
      </c>
    </row>
    <row r="694" spans="1:13" x14ac:dyDescent="0.3">
      <c r="A694" t="s">
        <v>1488</v>
      </c>
      <c r="B694" t="s">
        <v>1489</v>
      </c>
      <c r="C694" t="s">
        <v>1215</v>
      </c>
      <c r="D694" t="s">
        <v>1490</v>
      </c>
      <c r="E694">
        <v>600</v>
      </c>
      <c r="F694">
        <v>480</v>
      </c>
      <c r="G694">
        <v>20</v>
      </c>
      <c r="H694">
        <v>120</v>
      </c>
      <c r="I694" t="s">
        <v>17</v>
      </c>
      <c r="J694">
        <v>4.3</v>
      </c>
      <c r="K694">
        <v>5719</v>
      </c>
      <c r="L694">
        <v>0.42777777777777781</v>
      </c>
      <c r="M694" t="s">
        <v>18</v>
      </c>
    </row>
    <row r="695" spans="1:13" x14ac:dyDescent="0.3">
      <c r="A695" t="s">
        <v>1491</v>
      </c>
      <c r="B695" t="s">
        <v>1492</v>
      </c>
      <c r="C695" t="s">
        <v>15</v>
      </c>
      <c r="D695" t="s">
        <v>1179</v>
      </c>
      <c r="E695">
        <v>2499</v>
      </c>
      <c r="F695">
        <v>999</v>
      </c>
      <c r="G695">
        <v>60</v>
      </c>
      <c r="H695">
        <v>1500</v>
      </c>
      <c r="I695" t="s">
        <v>64</v>
      </c>
      <c r="J695">
        <v>4.3</v>
      </c>
      <c r="K695">
        <v>1690</v>
      </c>
      <c r="L695">
        <v>0.2424191919191919</v>
      </c>
      <c r="M695" t="s">
        <v>18</v>
      </c>
    </row>
    <row r="696" spans="1:13" x14ac:dyDescent="0.3">
      <c r="A696" t="s">
        <v>1493</v>
      </c>
      <c r="B696" t="s">
        <v>1494</v>
      </c>
      <c r="C696" t="s">
        <v>15</v>
      </c>
      <c r="D696" t="s">
        <v>1495</v>
      </c>
      <c r="E696">
        <v>699</v>
      </c>
      <c r="F696">
        <v>238</v>
      </c>
      <c r="G696">
        <v>66</v>
      </c>
      <c r="H696">
        <v>461</v>
      </c>
      <c r="I696" t="s">
        <v>17</v>
      </c>
      <c r="J696">
        <v>4.4000000000000004</v>
      </c>
      <c r="K696">
        <v>8372</v>
      </c>
      <c r="L696">
        <v>0.40476190476190471</v>
      </c>
      <c r="M696" t="s">
        <v>18</v>
      </c>
    </row>
    <row r="697" spans="1:13" x14ac:dyDescent="0.3">
      <c r="A697" t="s">
        <v>1496</v>
      </c>
      <c r="B697" t="s">
        <v>1497</v>
      </c>
      <c r="C697" t="s">
        <v>15</v>
      </c>
      <c r="D697" t="s">
        <v>1227</v>
      </c>
      <c r="E697">
        <v>2198</v>
      </c>
      <c r="F697">
        <v>1349</v>
      </c>
      <c r="G697">
        <v>39</v>
      </c>
      <c r="H697">
        <v>849</v>
      </c>
      <c r="I697" t="s">
        <v>64</v>
      </c>
      <c r="J697">
        <v>4</v>
      </c>
      <c r="K697">
        <v>7113</v>
      </c>
      <c r="L697">
        <v>0.18486772486772479</v>
      </c>
      <c r="M697" t="s">
        <v>18</v>
      </c>
    </row>
    <row r="698" spans="1:13" x14ac:dyDescent="0.3">
      <c r="A698" t="s">
        <v>1498</v>
      </c>
      <c r="B698" t="s">
        <v>1499</v>
      </c>
      <c r="C698" t="s">
        <v>15</v>
      </c>
      <c r="D698" t="s">
        <v>1450</v>
      </c>
      <c r="E698">
        <v>499</v>
      </c>
      <c r="F698">
        <v>199</v>
      </c>
      <c r="G698">
        <v>60</v>
      </c>
      <c r="H698">
        <v>300</v>
      </c>
      <c r="I698" t="s">
        <v>17</v>
      </c>
      <c r="J698">
        <v>3.3</v>
      </c>
      <c r="K698">
        <v>2804</v>
      </c>
      <c r="L698">
        <v>0.30064458689458701</v>
      </c>
      <c r="M698" t="s">
        <v>18</v>
      </c>
    </row>
    <row r="699" spans="1:13" x14ac:dyDescent="0.3">
      <c r="A699" t="s">
        <v>1500</v>
      </c>
      <c r="B699" t="s">
        <v>1501</v>
      </c>
      <c r="C699" t="s">
        <v>44</v>
      </c>
      <c r="D699" t="s">
        <v>737</v>
      </c>
      <c r="E699">
        <v>9999</v>
      </c>
      <c r="F699">
        <v>1999</v>
      </c>
      <c r="G699">
        <v>80</v>
      </c>
      <c r="H699">
        <v>8000</v>
      </c>
      <c r="I699" t="s">
        <v>167</v>
      </c>
      <c r="J699">
        <v>3.7</v>
      </c>
      <c r="K699">
        <v>1986</v>
      </c>
      <c r="L699">
        <v>0.29127100840336129</v>
      </c>
      <c r="M699" t="s">
        <v>18</v>
      </c>
    </row>
    <row r="700" spans="1:13" x14ac:dyDescent="0.3">
      <c r="A700" t="s">
        <v>1502</v>
      </c>
      <c r="B700" t="s">
        <v>1503</v>
      </c>
      <c r="C700" t="s">
        <v>44</v>
      </c>
      <c r="D700" t="s">
        <v>841</v>
      </c>
      <c r="E700">
        <v>499</v>
      </c>
      <c r="F700">
        <v>99</v>
      </c>
      <c r="G700">
        <v>80</v>
      </c>
      <c r="H700">
        <v>400</v>
      </c>
      <c r="I700" t="s">
        <v>17</v>
      </c>
      <c r="J700">
        <v>4.0999999999999996</v>
      </c>
      <c r="K700">
        <v>2451</v>
      </c>
      <c r="L700">
        <v>0.4380952380952382</v>
      </c>
      <c r="M700" t="s">
        <v>18</v>
      </c>
    </row>
    <row r="701" spans="1:13" x14ac:dyDescent="0.3">
      <c r="A701" t="s">
        <v>1504</v>
      </c>
      <c r="B701" t="s">
        <v>1505</v>
      </c>
      <c r="C701" t="s">
        <v>15</v>
      </c>
      <c r="D701" t="s">
        <v>1171</v>
      </c>
      <c r="E701">
        <v>1000</v>
      </c>
      <c r="F701">
        <v>499</v>
      </c>
      <c r="G701">
        <v>50</v>
      </c>
      <c r="H701">
        <v>501</v>
      </c>
      <c r="I701" t="s">
        <v>17</v>
      </c>
      <c r="J701">
        <v>5</v>
      </c>
      <c r="K701">
        <v>23</v>
      </c>
      <c r="L701">
        <v>0.36333333333333329</v>
      </c>
      <c r="M701" t="s">
        <v>18</v>
      </c>
    </row>
    <row r="702" spans="1:13" x14ac:dyDescent="0.3">
      <c r="A702" t="s">
        <v>1506</v>
      </c>
      <c r="B702" t="s">
        <v>1507</v>
      </c>
      <c r="C702" t="s">
        <v>15</v>
      </c>
      <c r="D702" t="s">
        <v>1508</v>
      </c>
      <c r="E702">
        <v>3500</v>
      </c>
      <c r="F702">
        <v>1792</v>
      </c>
      <c r="G702">
        <v>49</v>
      </c>
      <c r="H702">
        <v>1708</v>
      </c>
      <c r="I702" t="s">
        <v>167</v>
      </c>
      <c r="J702">
        <v>4.5</v>
      </c>
      <c r="K702">
        <v>26194</v>
      </c>
      <c r="L702">
        <v>0.1115811965811965</v>
      </c>
      <c r="M702" t="s">
        <v>18</v>
      </c>
    </row>
    <row r="703" spans="1:13" x14ac:dyDescent="0.3">
      <c r="A703" t="s">
        <v>1509</v>
      </c>
      <c r="B703" t="s">
        <v>1510</v>
      </c>
      <c r="C703" t="s">
        <v>15</v>
      </c>
      <c r="D703" t="s">
        <v>1511</v>
      </c>
      <c r="E703">
        <v>4100</v>
      </c>
      <c r="F703">
        <v>3299</v>
      </c>
      <c r="G703">
        <v>20</v>
      </c>
      <c r="H703">
        <v>801</v>
      </c>
      <c r="I703" t="s">
        <v>167</v>
      </c>
      <c r="J703">
        <v>3.9</v>
      </c>
      <c r="K703">
        <v>15783</v>
      </c>
      <c r="L703">
        <v>5.8477400735465201E-2</v>
      </c>
      <c r="M703" t="s">
        <v>103</v>
      </c>
    </row>
    <row r="704" spans="1:13" x14ac:dyDescent="0.3">
      <c r="A704" t="s">
        <v>1512</v>
      </c>
      <c r="B704" t="s">
        <v>1513</v>
      </c>
      <c r="C704" t="s">
        <v>1215</v>
      </c>
      <c r="D704" t="s">
        <v>1481</v>
      </c>
      <c r="E704">
        <v>180</v>
      </c>
      <c r="F704">
        <v>125</v>
      </c>
      <c r="G704">
        <v>31</v>
      </c>
      <c r="H704">
        <v>55</v>
      </c>
      <c r="I704" t="s">
        <v>17</v>
      </c>
      <c r="J704">
        <v>4.4000000000000004</v>
      </c>
      <c r="K704">
        <v>8053</v>
      </c>
      <c r="L704">
        <v>0.31888888888888889</v>
      </c>
      <c r="M704" t="s">
        <v>18</v>
      </c>
    </row>
    <row r="705" spans="1:13" x14ac:dyDescent="0.3">
      <c r="A705" t="s">
        <v>1514</v>
      </c>
      <c r="B705" t="s">
        <v>1515</v>
      </c>
      <c r="C705" t="s">
        <v>15</v>
      </c>
      <c r="D705" t="s">
        <v>1171</v>
      </c>
      <c r="E705">
        <v>1190</v>
      </c>
      <c r="F705">
        <v>399</v>
      </c>
      <c r="G705">
        <v>66</v>
      </c>
      <c r="H705">
        <v>791</v>
      </c>
      <c r="I705" t="s">
        <v>17</v>
      </c>
      <c r="J705">
        <v>4.0999999999999996</v>
      </c>
      <c r="K705">
        <v>2809</v>
      </c>
      <c r="L705">
        <v>0.33962962962962961</v>
      </c>
      <c r="M705" t="s">
        <v>18</v>
      </c>
    </row>
    <row r="706" spans="1:13" x14ac:dyDescent="0.3">
      <c r="A706" t="s">
        <v>1516</v>
      </c>
      <c r="B706" t="s">
        <v>1517</v>
      </c>
      <c r="C706" t="s">
        <v>44</v>
      </c>
      <c r="D706" t="s">
        <v>737</v>
      </c>
      <c r="E706">
        <v>7999</v>
      </c>
      <c r="F706">
        <v>1199</v>
      </c>
      <c r="G706">
        <v>85</v>
      </c>
      <c r="H706">
        <v>6800</v>
      </c>
      <c r="I706" t="s">
        <v>64</v>
      </c>
      <c r="J706">
        <v>3.6</v>
      </c>
      <c r="K706">
        <v>25910</v>
      </c>
      <c r="L706">
        <v>0.34999999999999992</v>
      </c>
      <c r="M706" t="s">
        <v>18</v>
      </c>
    </row>
    <row r="707" spans="1:13" x14ac:dyDescent="0.3">
      <c r="A707" t="s">
        <v>1518</v>
      </c>
      <c r="B707" t="s">
        <v>1519</v>
      </c>
      <c r="C707" t="s">
        <v>15</v>
      </c>
      <c r="D707" t="s">
        <v>1174</v>
      </c>
      <c r="E707">
        <v>1599</v>
      </c>
      <c r="F707">
        <v>235</v>
      </c>
      <c r="G707">
        <v>85</v>
      </c>
      <c r="H707">
        <v>1364</v>
      </c>
      <c r="I707" t="s">
        <v>17</v>
      </c>
      <c r="J707">
        <v>3.8</v>
      </c>
      <c r="K707">
        <v>1173</v>
      </c>
      <c r="L707">
        <v>0.3361462585034013</v>
      </c>
      <c r="M707" t="s">
        <v>18</v>
      </c>
    </row>
    <row r="708" spans="1:13" x14ac:dyDescent="0.3">
      <c r="A708" t="s">
        <v>1520</v>
      </c>
      <c r="B708" t="s">
        <v>1521</v>
      </c>
      <c r="C708" t="s">
        <v>15</v>
      </c>
      <c r="D708" t="s">
        <v>1179</v>
      </c>
      <c r="E708">
        <v>1999</v>
      </c>
      <c r="F708">
        <v>549</v>
      </c>
      <c r="G708">
        <v>73</v>
      </c>
      <c r="H708">
        <v>1450</v>
      </c>
      <c r="I708" t="s">
        <v>64</v>
      </c>
      <c r="J708">
        <v>3.6</v>
      </c>
      <c r="K708">
        <v>6422</v>
      </c>
      <c r="L708">
        <v>0.1099747474747475</v>
      </c>
      <c r="M708" t="s">
        <v>18</v>
      </c>
    </row>
    <row r="709" spans="1:13" x14ac:dyDescent="0.3">
      <c r="A709" t="s">
        <v>1522</v>
      </c>
      <c r="B709" t="s">
        <v>1523</v>
      </c>
      <c r="C709" t="s">
        <v>15</v>
      </c>
      <c r="D709" t="s">
        <v>1384</v>
      </c>
      <c r="E709">
        <v>99</v>
      </c>
      <c r="F709">
        <v>89</v>
      </c>
      <c r="G709">
        <v>10</v>
      </c>
      <c r="H709">
        <v>10</v>
      </c>
      <c r="I709" t="s">
        <v>17</v>
      </c>
      <c r="J709">
        <v>4.2</v>
      </c>
      <c r="K709">
        <v>241</v>
      </c>
      <c r="L709">
        <v>0.1225961538461538</v>
      </c>
      <c r="M709" t="s">
        <v>18</v>
      </c>
    </row>
    <row r="710" spans="1:13" x14ac:dyDescent="0.3">
      <c r="A710" t="s">
        <v>1524</v>
      </c>
      <c r="B710" t="s">
        <v>1525</v>
      </c>
      <c r="C710" t="s">
        <v>44</v>
      </c>
      <c r="D710" t="s">
        <v>737</v>
      </c>
      <c r="E710">
        <v>2999</v>
      </c>
      <c r="F710">
        <v>1299</v>
      </c>
      <c r="G710">
        <v>57</v>
      </c>
      <c r="H710">
        <v>1700</v>
      </c>
      <c r="I710" t="s">
        <v>64</v>
      </c>
      <c r="J710">
        <v>3.8</v>
      </c>
      <c r="K710">
        <v>14629</v>
      </c>
      <c r="L710">
        <v>0.1103743657775916</v>
      </c>
      <c r="M710" t="s">
        <v>18</v>
      </c>
    </row>
    <row r="711" spans="1:13" x14ac:dyDescent="0.3">
      <c r="A711" t="s">
        <v>1526</v>
      </c>
      <c r="B711" t="s">
        <v>1527</v>
      </c>
      <c r="C711" t="s">
        <v>15</v>
      </c>
      <c r="D711" t="s">
        <v>1282</v>
      </c>
      <c r="E711">
        <v>999</v>
      </c>
      <c r="F711">
        <v>230</v>
      </c>
      <c r="G711">
        <v>77</v>
      </c>
      <c r="H711">
        <v>769</v>
      </c>
      <c r="I711" t="s">
        <v>17</v>
      </c>
      <c r="J711">
        <v>4.2</v>
      </c>
      <c r="K711">
        <v>1528</v>
      </c>
      <c r="L711">
        <v>0.33346560846560841</v>
      </c>
      <c r="M711" t="s">
        <v>18</v>
      </c>
    </row>
    <row r="712" spans="1:13" x14ac:dyDescent="0.3">
      <c r="A712" t="s">
        <v>1528</v>
      </c>
      <c r="B712" t="s">
        <v>1529</v>
      </c>
      <c r="C712" t="s">
        <v>44</v>
      </c>
      <c r="D712" t="s">
        <v>1530</v>
      </c>
      <c r="E712">
        <v>499</v>
      </c>
      <c r="F712">
        <v>119</v>
      </c>
      <c r="G712">
        <v>76</v>
      </c>
      <c r="H712">
        <v>380</v>
      </c>
      <c r="I712" t="s">
        <v>17</v>
      </c>
      <c r="J712">
        <v>4.3</v>
      </c>
      <c r="K712">
        <v>15032</v>
      </c>
      <c r="L712">
        <v>0.30324404761904761</v>
      </c>
      <c r="M712" t="s">
        <v>18</v>
      </c>
    </row>
    <row r="713" spans="1:13" x14ac:dyDescent="0.3">
      <c r="A713" t="s">
        <v>1531</v>
      </c>
      <c r="B713" t="s">
        <v>1532</v>
      </c>
      <c r="C713" t="s">
        <v>44</v>
      </c>
      <c r="D713" t="s">
        <v>1533</v>
      </c>
      <c r="E713">
        <v>800</v>
      </c>
      <c r="F713">
        <v>449</v>
      </c>
      <c r="G713">
        <v>44</v>
      </c>
      <c r="H713">
        <v>351</v>
      </c>
      <c r="I713" t="s">
        <v>17</v>
      </c>
      <c r="J713">
        <v>4.4000000000000004</v>
      </c>
      <c r="K713">
        <v>69585</v>
      </c>
      <c r="L713">
        <v>0.18397435897435899</v>
      </c>
      <c r="M713" t="s">
        <v>18</v>
      </c>
    </row>
    <row r="714" spans="1:13" x14ac:dyDescent="0.3">
      <c r="A714" t="s">
        <v>1534</v>
      </c>
      <c r="B714" t="s">
        <v>1535</v>
      </c>
      <c r="C714" t="s">
        <v>44</v>
      </c>
      <c r="D714" t="s">
        <v>1536</v>
      </c>
      <c r="E714">
        <v>3495</v>
      </c>
      <c r="F714">
        <v>1699</v>
      </c>
      <c r="G714">
        <v>51</v>
      </c>
      <c r="H714">
        <v>1796</v>
      </c>
      <c r="I714" t="s">
        <v>167</v>
      </c>
      <c r="J714">
        <v>4.0999999999999996</v>
      </c>
      <c r="K714">
        <v>14371</v>
      </c>
      <c r="L714">
        <v>0.24021592442645071</v>
      </c>
      <c r="M714" t="s">
        <v>18</v>
      </c>
    </row>
    <row r="715" spans="1:13" x14ac:dyDescent="0.3">
      <c r="A715" t="s">
        <v>1537</v>
      </c>
      <c r="B715" t="s">
        <v>1538</v>
      </c>
      <c r="C715" t="s">
        <v>1215</v>
      </c>
      <c r="D715" t="s">
        <v>1481</v>
      </c>
      <c r="E715">
        <v>720</v>
      </c>
      <c r="F715">
        <v>561</v>
      </c>
      <c r="G715">
        <v>22</v>
      </c>
      <c r="H715">
        <v>159</v>
      </c>
      <c r="I715" t="s">
        <v>64</v>
      </c>
      <c r="J715">
        <v>4.4000000000000004</v>
      </c>
      <c r="K715">
        <v>3182</v>
      </c>
      <c r="L715">
        <v>0.56000000000000005</v>
      </c>
      <c r="M715" t="s">
        <v>18</v>
      </c>
    </row>
    <row r="716" spans="1:13" x14ac:dyDescent="0.3">
      <c r="A716" t="s">
        <v>1539</v>
      </c>
      <c r="B716" t="s">
        <v>1540</v>
      </c>
      <c r="C716" t="s">
        <v>15</v>
      </c>
      <c r="D716" t="s">
        <v>1171</v>
      </c>
      <c r="E716">
        <v>590</v>
      </c>
      <c r="F716">
        <v>289</v>
      </c>
      <c r="G716">
        <v>51</v>
      </c>
      <c r="H716">
        <v>301</v>
      </c>
      <c r="I716" t="s">
        <v>17</v>
      </c>
      <c r="J716">
        <v>4.4000000000000004</v>
      </c>
      <c r="K716">
        <v>25886</v>
      </c>
      <c r="L716">
        <v>0.2076923076923077</v>
      </c>
      <c r="M716" t="s">
        <v>18</v>
      </c>
    </row>
    <row r="717" spans="1:13" x14ac:dyDescent="0.3">
      <c r="A717" t="s">
        <v>1541</v>
      </c>
      <c r="B717" t="s">
        <v>1542</v>
      </c>
      <c r="C717" t="s">
        <v>15</v>
      </c>
      <c r="D717" t="s">
        <v>1184</v>
      </c>
      <c r="E717">
        <v>1999</v>
      </c>
      <c r="F717">
        <v>599</v>
      </c>
      <c r="G717">
        <v>70</v>
      </c>
      <c r="H717">
        <v>1400</v>
      </c>
      <c r="I717" t="s">
        <v>64</v>
      </c>
      <c r="J717">
        <v>4.4000000000000004</v>
      </c>
      <c r="K717">
        <v>4736</v>
      </c>
      <c r="L717">
        <v>0.2154947916666666</v>
      </c>
      <c r="M717" t="s">
        <v>18</v>
      </c>
    </row>
    <row r="718" spans="1:13" x14ac:dyDescent="0.3">
      <c r="A718" t="s">
        <v>1543</v>
      </c>
      <c r="B718" t="s">
        <v>1544</v>
      </c>
      <c r="C718" t="s">
        <v>15</v>
      </c>
      <c r="D718" t="s">
        <v>1230</v>
      </c>
      <c r="E718">
        <v>7350</v>
      </c>
      <c r="F718">
        <v>5599</v>
      </c>
      <c r="G718">
        <v>24</v>
      </c>
      <c r="H718">
        <v>1751</v>
      </c>
      <c r="I718" t="s">
        <v>55</v>
      </c>
      <c r="J718">
        <v>4.4000000000000004</v>
      </c>
      <c r="K718">
        <v>73005</v>
      </c>
      <c r="L718">
        <v>0.19193333333333329</v>
      </c>
      <c r="M718" t="s">
        <v>18</v>
      </c>
    </row>
    <row r="719" spans="1:13" x14ac:dyDescent="0.3">
      <c r="A719" t="s">
        <v>1545</v>
      </c>
      <c r="B719" t="s">
        <v>1546</v>
      </c>
      <c r="C719" t="s">
        <v>15</v>
      </c>
      <c r="D719" t="s">
        <v>1547</v>
      </c>
      <c r="E719">
        <v>2595</v>
      </c>
      <c r="F719">
        <v>1990</v>
      </c>
      <c r="G719">
        <v>23</v>
      </c>
      <c r="H719">
        <v>605</v>
      </c>
      <c r="I719" t="s">
        <v>167</v>
      </c>
      <c r="J719">
        <v>4.3</v>
      </c>
      <c r="K719">
        <v>20398</v>
      </c>
      <c r="L719">
        <v>0.2379680004680004</v>
      </c>
      <c r="M719" t="s">
        <v>18</v>
      </c>
    </row>
    <row r="720" spans="1:13" x14ac:dyDescent="0.3">
      <c r="A720" t="s">
        <v>1548</v>
      </c>
      <c r="B720" t="s">
        <v>1549</v>
      </c>
      <c r="C720" t="s">
        <v>15</v>
      </c>
      <c r="D720" t="s">
        <v>1441</v>
      </c>
      <c r="E720">
        <v>799</v>
      </c>
      <c r="F720">
        <v>499</v>
      </c>
      <c r="G720">
        <v>38</v>
      </c>
      <c r="H720">
        <v>300</v>
      </c>
      <c r="I720" t="s">
        <v>17</v>
      </c>
      <c r="J720">
        <v>4.3</v>
      </c>
      <c r="K720">
        <v>2125</v>
      </c>
      <c r="L720">
        <v>0.1417080026455026</v>
      </c>
      <c r="M720" t="s">
        <v>18</v>
      </c>
    </row>
    <row r="721" spans="1:13" x14ac:dyDescent="0.3">
      <c r="A721" t="s">
        <v>1550</v>
      </c>
      <c r="B721" t="s">
        <v>1551</v>
      </c>
      <c r="C721" t="s">
        <v>15</v>
      </c>
      <c r="D721" t="s">
        <v>1464</v>
      </c>
      <c r="E721">
        <v>999</v>
      </c>
      <c r="F721">
        <v>449</v>
      </c>
      <c r="G721">
        <v>55</v>
      </c>
      <c r="H721">
        <v>550</v>
      </c>
      <c r="I721" t="s">
        <v>17</v>
      </c>
      <c r="J721">
        <v>4.3</v>
      </c>
      <c r="K721">
        <v>11330</v>
      </c>
      <c r="L721">
        <v>0.34749999999999998</v>
      </c>
      <c r="M721" t="s">
        <v>18</v>
      </c>
    </row>
    <row r="722" spans="1:13" x14ac:dyDescent="0.3">
      <c r="A722" t="s">
        <v>1552</v>
      </c>
      <c r="B722" t="s">
        <v>1553</v>
      </c>
      <c r="C722" t="s">
        <v>15</v>
      </c>
      <c r="D722" t="s">
        <v>1554</v>
      </c>
      <c r="E722">
        <v>1999</v>
      </c>
      <c r="F722">
        <v>999</v>
      </c>
      <c r="G722">
        <v>50</v>
      </c>
      <c r="H722">
        <v>1000</v>
      </c>
      <c r="I722" t="s">
        <v>64</v>
      </c>
      <c r="J722">
        <v>4.2</v>
      </c>
      <c r="K722">
        <v>27441</v>
      </c>
      <c r="L722">
        <v>0.20906250000000001</v>
      </c>
      <c r="M722" t="s">
        <v>18</v>
      </c>
    </row>
    <row r="723" spans="1:13" x14ac:dyDescent="0.3">
      <c r="A723" t="s">
        <v>1555</v>
      </c>
      <c r="B723" t="s">
        <v>1556</v>
      </c>
      <c r="C723" t="s">
        <v>15</v>
      </c>
      <c r="D723" t="s">
        <v>1083</v>
      </c>
      <c r="E723">
        <v>299</v>
      </c>
      <c r="F723">
        <v>69</v>
      </c>
      <c r="G723">
        <v>77</v>
      </c>
      <c r="H723">
        <v>230</v>
      </c>
      <c r="I723" t="s">
        <v>17</v>
      </c>
      <c r="J723">
        <v>4.3</v>
      </c>
      <c r="K723">
        <v>255</v>
      </c>
      <c r="L723">
        <v>0.24907894736842101</v>
      </c>
      <c r="M723" t="s">
        <v>18</v>
      </c>
    </row>
    <row r="724" spans="1:13" x14ac:dyDescent="0.3">
      <c r="A724" t="s">
        <v>1557</v>
      </c>
      <c r="B724" t="s">
        <v>1558</v>
      </c>
      <c r="C724" t="s">
        <v>15</v>
      </c>
      <c r="D724" t="s">
        <v>1171</v>
      </c>
      <c r="E724">
        <v>1499</v>
      </c>
      <c r="F724">
        <v>899</v>
      </c>
      <c r="G724">
        <v>40</v>
      </c>
      <c r="H724">
        <v>600</v>
      </c>
      <c r="I724" t="s">
        <v>64</v>
      </c>
      <c r="J724">
        <v>4.2</v>
      </c>
      <c r="K724">
        <v>23174</v>
      </c>
      <c r="L724">
        <v>0.3205357142857142</v>
      </c>
      <c r="M724" t="s">
        <v>18</v>
      </c>
    </row>
    <row r="725" spans="1:13" x14ac:dyDescent="0.3">
      <c r="A725" t="s">
        <v>1559</v>
      </c>
      <c r="B725" t="s">
        <v>1560</v>
      </c>
      <c r="C725" t="s">
        <v>1208</v>
      </c>
      <c r="D725" t="s">
        <v>1209</v>
      </c>
      <c r="E725">
        <v>699</v>
      </c>
      <c r="F725">
        <v>478</v>
      </c>
      <c r="G725">
        <v>32</v>
      </c>
      <c r="H725">
        <v>221</v>
      </c>
      <c r="I725" t="s">
        <v>17</v>
      </c>
      <c r="J725">
        <v>3.8</v>
      </c>
      <c r="K725">
        <v>20218</v>
      </c>
      <c r="L725">
        <v>0.19352564102564099</v>
      </c>
      <c r="M725" t="s">
        <v>18</v>
      </c>
    </row>
    <row r="726" spans="1:13" x14ac:dyDescent="0.3">
      <c r="A726" t="s">
        <v>1561</v>
      </c>
      <c r="B726" t="s">
        <v>1562</v>
      </c>
      <c r="C726" t="s">
        <v>15</v>
      </c>
      <c r="D726" t="s">
        <v>1563</v>
      </c>
      <c r="E726">
        <v>2490</v>
      </c>
      <c r="F726">
        <v>1399</v>
      </c>
      <c r="G726">
        <v>44</v>
      </c>
      <c r="H726">
        <v>1091</v>
      </c>
      <c r="I726" t="s">
        <v>64</v>
      </c>
      <c r="J726">
        <v>4.3</v>
      </c>
      <c r="K726">
        <v>11074</v>
      </c>
      <c r="L726">
        <v>0.41858974358974349</v>
      </c>
      <c r="M726" t="s">
        <v>18</v>
      </c>
    </row>
    <row r="727" spans="1:13" x14ac:dyDescent="0.3">
      <c r="A727" t="s">
        <v>1564</v>
      </c>
      <c r="B727" t="s">
        <v>1565</v>
      </c>
      <c r="C727" t="s">
        <v>15</v>
      </c>
      <c r="D727" t="s">
        <v>841</v>
      </c>
      <c r="E727">
        <v>499</v>
      </c>
      <c r="F727">
        <v>149</v>
      </c>
      <c r="G727">
        <v>70</v>
      </c>
      <c r="H727">
        <v>350</v>
      </c>
      <c r="I727" t="s">
        <v>17</v>
      </c>
      <c r="J727">
        <v>4.0999999999999996</v>
      </c>
      <c r="K727">
        <v>25607</v>
      </c>
      <c r="L727">
        <v>0.41296296296296298</v>
      </c>
      <c r="M727" t="s">
        <v>18</v>
      </c>
    </row>
    <row r="728" spans="1:13" x14ac:dyDescent="0.3">
      <c r="A728" t="s">
        <v>1566</v>
      </c>
      <c r="B728" t="s">
        <v>1567</v>
      </c>
      <c r="C728" t="s">
        <v>44</v>
      </c>
      <c r="D728" t="s">
        <v>1318</v>
      </c>
      <c r="E728">
        <v>4990</v>
      </c>
      <c r="F728">
        <v>1799</v>
      </c>
      <c r="G728">
        <v>64</v>
      </c>
      <c r="H728">
        <v>3191</v>
      </c>
      <c r="I728" t="s">
        <v>167</v>
      </c>
      <c r="J728">
        <v>4.2</v>
      </c>
      <c r="K728">
        <v>41226</v>
      </c>
      <c r="L728">
        <v>0.1399581099547986</v>
      </c>
      <c r="M728" t="s">
        <v>18</v>
      </c>
    </row>
    <row r="729" spans="1:13" x14ac:dyDescent="0.3">
      <c r="A729" t="s">
        <v>1568</v>
      </c>
      <c r="B729" t="s">
        <v>1569</v>
      </c>
      <c r="C729" t="s">
        <v>1570</v>
      </c>
      <c r="D729" t="s">
        <v>1571</v>
      </c>
      <c r="E729">
        <v>999</v>
      </c>
      <c r="F729">
        <v>425</v>
      </c>
      <c r="G729">
        <v>57</v>
      </c>
      <c r="H729">
        <v>574</v>
      </c>
      <c r="I729" t="s">
        <v>17</v>
      </c>
      <c r="J729">
        <v>4</v>
      </c>
      <c r="K729">
        <v>2581</v>
      </c>
      <c r="L729">
        <v>0.27041666666666658</v>
      </c>
      <c r="M729" t="s">
        <v>18</v>
      </c>
    </row>
    <row r="730" spans="1:13" x14ac:dyDescent="0.3">
      <c r="A730" t="s">
        <v>1572</v>
      </c>
      <c r="B730" t="s">
        <v>1573</v>
      </c>
      <c r="C730" t="s">
        <v>44</v>
      </c>
      <c r="D730" t="s">
        <v>1461</v>
      </c>
      <c r="E730">
        <v>2490</v>
      </c>
      <c r="F730">
        <v>999</v>
      </c>
      <c r="G730">
        <v>60</v>
      </c>
      <c r="H730">
        <v>1491</v>
      </c>
      <c r="I730" t="s">
        <v>64</v>
      </c>
      <c r="J730">
        <v>4.0999999999999996</v>
      </c>
      <c r="K730">
        <v>18331</v>
      </c>
      <c r="L730">
        <v>0.3</v>
      </c>
      <c r="M730" t="s">
        <v>18</v>
      </c>
    </row>
    <row r="731" spans="1:13" x14ac:dyDescent="0.3">
      <c r="A731" t="s">
        <v>1574</v>
      </c>
      <c r="B731" t="s">
        <v>1575</v>
      </c>
      <c r="C731" t="s">
        <v>15</v>
      </c>
      <c r="D731" t="s">
        <v>1174</v>
      </c>
      <c r="E731">
        <v>999</v>
      </c>
      <c r="F731">
        <v>378</v>
      </c>
      <c r="G731">
        <v>62</v>
      </c>
      <c r="H731">
        <v>621</v>
      </c>
      <c r="I731" t="s">
        <v>17</v>
      </c>
      <c r="J731">
        <v>4.0999999999999996</v>
      </c>
      <c r="K731">
        <v>1779</v>
      </c>
      <c r="L731">
        <v>0.34249999999999992</v>
      </c>
      <c r="M731" t="s">
        <v>18</v>
      </c>
    </row>
    <row r="732" spans="1:13" x14ac:dyDescent="0.3">
      <c r="A732" t="s">
        <v>1576</v>
      </c>
      <c r="B732" t="s">
        <v>1577</v>
      </c>
      <c r="C732" t="s">
        <v>1215</v>
      </c>
      <c r="D732" t="s">
        <v>1578</v>
      </c>
      <c r="E732">
        <v>99</v>
      </c>
      <c r="F732">
        <v>99</v>
      </c>
      <c r="G732">
        <v>0</v>
      </c>
      <c r="H732">
        <v>0</v>
      </c>
      <c r="I732" t="s">
        <v>17</v>
      </c>
      <c r="J732">
        <v>4.3</v>
      </c>
      <c r="K732">
        <v>388</v>
      </c>
      <c r="L732">
        <v>0.44090909090909097</v>
      </c>
      <c r="M732" t="s">
        <v>18</v>
      </c>
    </row>
    <row r="733" spans="1:13" x14ac:dyDescent="0.3">
      <c r="A733" t="s">
        <v>1579</v>
      </c>
      <c r="B733" t="s">
        <v>1580</v>
      </c>
      <c r="C733" t="s">
        <v>15</v>
      </c>
      <c r="D733" t="s">
        <v>1302</v>
      </c>
      <c r="E733">
        <v>2999</v>
      </c>
      <c r="F733">
        <v>1499</v>
      </c>
      <c r="G733">
        <v>50</v>
      </c>
      <c r="H733">
        <v>1500</v>
      </c>
      <c r="I733" t="s">
        <v>64</v>
      </c>
      <c r="J733">
        <v>4.5</v>
      </c>
      <c r="K733">
        <v>8656</v>
      </c>
      <c r="L733">
        <v>0.19635416666666661</v>
      </c>
      <c r="M733" t="s">
        <v>18</v>
      </c>
    </row>
    <row r="734" spans="1:13" x14ac:dyDescent="0.3">
      <c r="A734" t="s">
        <v>1581</v>
      </c>
      <c r="B734" t="s">
        <v>1582</v>
      </c>
      <c r="C734" t="s">
        <v>15</v>
      </c>
      <c r="D734" t="s">
        <v>1583</v>
      </c>
      <c r="E734">
        <v>3100</v>
      </c>
      <c r="F734">
        <v>1815</v>
      </c>
      <c r="G734">
        <v>41</v>
      </c>
      <c r="H734">
        <v>1285</v>
      </c>
      <c r="I734" t="s">
        <v>167</v>
      </c>
      <c r="J734">
        <v>4.5</v>
      </c>
      <c r="K734">
        <v>92925</v>
      </c>
      <c r="L734">
        <v>0.22741516146688551</v>
      </c>
      <c r="M734" t="s">
        <v>18</v>
      </c>
    </row>
    <row r="735" spans="1:13" x14ac:dyDescent="0.3">
      <c r="A735" t="s">
        <v>1584</v>
      </c>
      <c r="B735" t="s">
        <v>1585</v>
      </c>
      <c r="C735" t="s">
        <v>1215</v>
      </c>
      <c r="D735" t="s">
        <v>1481</v>
      </c>
      <c r="E735">
        <v>75</v>
      </c>
      <c r="F735">
        <v>67</v>
      </c>
      <c r="G735">
        <v>11</v>
      </c>
      <c r="H735">
        <v>8</v>
      </c>
      <c r="I735" t="s">
        <v>17</v>
      </c>
      <c r="J735">
        <v>4.0999999999999996</v>
      </c>
      <c r="K735">
        <v>1269</v>
      </c>
      <c r="L735">
        <v>0.41666666666666669</v>
      </c>
      <c r="M735" t="s">
        <v>18</v>
      </c>
    </row>
    <row r="736" spans="1:13" x14ac:dyDescent="0.3">
      <c r="A736" t="s">
        <v>1586</v>
      </c>
      <c r="B736" t="s">
        <v>1587</v>
      </c>
      <c r="C736" t="s">
        <v>15</v>
      </c>
      <c r="D736" t="s">
        <v>1179</v>
      </c>
      <c r="E736">
        <v>2699</v>
      </c>
      <c r="F736">
        <v>1889</v>
      </c>
      <c r="G736">
        <v>30</v>
      </c>
      <c r="H736">
        <v>810</v>
      </c>
      <c r="I736" t="s">
        <v>167</v>
      </c>
      <c r="J736">
        <v>4.3</v>
      </c>
      <c r="K736">
        <v>17394</v>
      </c>
      <c r="L736">
        <v>0.24885651629072689</v>
      </c>
      <c r="M736" t="s">
        <v>18</v>
      </c>
    </row>
    <row r="737" spans="1:13" x14ac:dyDescent="0.3">
      <c r="A737" t="s">
        <v>1588</v>
      </c>
      <c r="B737" t="s">
        <v>1589</v>
      </c>
      <c r="C737" t="s">
        <v>44</v>
      </c>
      <c r="D737" t="s">
        <v>737</v>
      </c>
      <c r="E737">
        <v>1499</v>
      </c>
      <c r="F737">
        <v>499</v>
      </c>
      <c r="G737">
        <v>67</v>
      </c>
      <c r="H737">
        <v>1000</v>
      </c>
      <c r="I737" t="s">
        <v>17</v>
      </c>
      <c r="J737">
        <v>3.6</v>
      </c>
      <c r="K737">
        <v>9169</v>
      </c>
      <c r="L737">
        <v>0.24383333333333329</v>
      </c>
      <c r="M737" t="s">
        <v>18</v>
      </c>
    </row>
    <row r="738" spans="1:13" x14ac:dyDescent="0.3">
      <c r="A738" t="s">
        <v>1590</v>
      </c>
      <c r="B738" t="s">
        <v>1591</v>
      </c>
      <c r="C738" t="s">
        <v>15</v>
      </c>
      <c r="D738" t="s">
        <v>1282</v>
      </c>
      <c r="E738">
        <v>999</v>
      </c>
      <c r="F738">
        <v>499</v>
      </c>
      <c r="G738">
        <v>50</v>
      </c>
      <c r="H738">
        <v>500</v>
      </c>
      <c r="I738" t="s">
        <v>17</v>
      </c>
      <c r="J738">
        <v>4.4000000000000004</v>
      </c>
      <c r="K738">
        <v>1030</v>
      </c>
      <c r="L738">
        <v>0.20219298245614031</v>
      </c>
      <c r="M738" t="s">
        <v>18</v>
      </c>
    </row>
    <row r="739" spans="1:13" x14ac:dyDescent="0.3">
      <c r="A739" t="s">
        <v>1592</v>
      </c>
      <c r="B739" t="s">
        <v>1593</v>
      </c>
      <c r="C739" t="s">
        <v>15</v>
      </c>
      <c r="D739" t="s">
        <v>1230</v>
      </c>
      <c r="E739">
        <v>7999</v>
      </c>
      <c r="F739">
        <v>5799</v>
      </c>
      <c r="G739">
        <v>28</v>
      </c>
      <c r="H739">
        <v>2200</v>
      </c>
      <c r="I739" t="s">
        <v>55</v>
      </c>
      <c r="J739">
        <v>4.5</v>
      </c>
      <c r="K739">
        <v>50273</v>
      </c>
      <c r="L739">
        <v>0.1113333333333333</v>
      </c>
      <c r="M739" t="s">
        <v>18</v>
      </c>
    </row>
    <row r="740" spans="1:13" x14ac:dyDescent="0.3">
      <c r="A740" t="s">
        <v>1594</v>
      </c>
      <c r="B740" t="s">
        <v>1595</v>
      </c>
      <c r="C740" t="s">
        <v>44</v>
      </c>
      <c r="D740" t="s">
        <v>1596</v>
      </c>
      <c r="E740">
        <v>799</v>
      </c>
      <c r="F740">
        <v>499</v>
      </c>
      <c r="G740">
        <v>38</v>
      </c>
      <c r="H740">
        <v>300</v>
      </c>
      <c r="I740" t="s">
        <v>17</v>
      </c>
      <c r="J740">
        <v>3.9</v>
      </c>
      <c r="K740">
        <v>6742</v>
      </c>
      <c r="L740">
        <v>6.8627450980392093E-2</v>
      </c>
      <c r="M740" t="s">
        <v>103</v>
      </c>
    </row>
    <row r="741" spans="1:13" x14ac:dyDescent="0.3">
      <c r="A741" t="s">
        <v>1597</v>
      </c>
      <c r="B741" t="s">
        <v>1598</v>
      </c>
      <c r="C741" t="s">
        <v>15</v>
      </c>
      <c r="D741" t="s">
        <v>1174</v>
      </c>
      <c r="E741">
        <v>600</v>
      </c>
      <c r="F741">
        <v>249</v>
      </c>
      <c r="G741">
        <v>59</v>
      </c>
      <c r="H741">
        <v>351</v>
      </c>
      <c r="I741" t="s">
        <v>17</v>
      </c>
      <c r="J741">
        <v>4</v>
      </c>
      <c r="K741">
        <v>1208</v>
      </c>
      <c r="L741">
        <v>0.42407407407407399</v>
      </c>
      <c r="M741" t="s">
        <v>18</v>
      </c>
    </row>
    <row r="742" spans="1:13" x14ac:dyDescent="0.3">
      <c r="A742" t="s">
        <v>1599</v>
      </c>
      <c r="B742" t="s">
        <v>1600</v>
      </c>
      <c r="C742" t="s">
        <v>15</v>
      </c>
      <c r="D742" t="s">
        <v>1230</v>
      </c>
      <c r="E742">
        <v>5734</v>
      </c>
      <c r="F742">
        <v>4449</v>
      </c>
      <c r="G742">
        <v>22</v>
      </c>
      <c r="H742">
        <v>1285</v>
      </c>
      <c r="I742" t="s">
        <v>167</v>
      </c>
      <c r="J742">
        <v>4.4000000000000004</v>
      </c>
      <c r="K742">
        <v>25006</v>
      </c>
      <c r="L742">
        <v>0.1843261562998405</v>
      </c>
      <c r="M742" t="s">
        <v>18</v>
      </c>
    </row>
    <row r="743" spans="1:13" x14ac:dyDescent="0.3">
      <c r="A743" t="s">
        <v>1601</v>
      </c>
      <c r="B743" t="s">
        <v>1602</v>
      </c>
      <c r="C743" t="s">
        <v>15</v>
      </c>
      <c r="D743" t="s">
        <v>1421</v>
      </c>
      <c r="E743">
        <v>550</v>
      </c>
      <c r="F743">
        <v>299</v>
      </c>
      <c r="G743">
        <v>46</v>
      </c>
      <c r="H743">
        <v>251</v>
      </c>
      <c r="I743" t="s">
        <v>17</v>
      </c>
      <c r="J743">
        <v>4.5999999999999996</v>
      </c>
      <c r="K743">
        <v>33434</v>
      </c>
      <c r="L743">
        <v>0.23472222222222219</v>
      </c>
      <c r="M743" t="s">
        <v>18</v>
      </c>
    </row>
    <row r="744" spans="1:13" x14ac:dyDescent="0.3">
      <c r="A744" t="s">
        <v>1603</v>
      </c>
      <c r="B744" t="s">
        <v>1604</v>
      </c>
      <c r="C744" t="s">
        <v>15</v>
      </c>
      <c r="D744" t="s">
        <v>1171</v>
      </c>
      <c r="E744">
        <v>1390</v>
      </c>
      <c r="F744">
        <v>629</v>
      </c>
      <c r="G744">
        <v>55</v>
      </c>
      <c r="H744">
        <v>761</v>
      </c>
      <c r="I744" t="s">
        <v>64</v>
      </c>
      <c r="J744">
        <v>4.4000000000000004</v>
      </c>
      <c r="K744">
        <v>6301</v>
      </c>
      <c r="L744">
        <v>9.6296296296296297E-2</v>
      </c>
      <c r="M744" t="s">
        <v>103</v>
      </c>
    </row>
    <row r="745" spans="1:13" x14ac:dyDescent="0.3">
      <c r="A745" t="s">
        <v>1605</v>
      </c>
      <c r="B745" t="s">
        <v>1606</v>
      </c>
      <c r="C745" t="s">
        <v>15</v>
      </c>
      <c r="D745" t="s">
        <v>1203</v>
      </c>
      <c r="E745">
        <v>3295</v>
      </c>
      <c r="F745">
        <v>2595</v>
      </c>
      <c r="G745">
        <v>21</v>
      </c>
      <c r="H745">
        <v>700</v>
      </c>
      <c r="I745" t="s">
        <v>167</v>
      </c>
      <c r="J745">
        <v>4.4000000000000004</v>
      </c>
      <c r="K745">
        <v>22618</v>
      </c>
      <c r="L745">
        <v>0.18786060606060609</v>
      </c>
      <c r="M745" t="s">
        <v>18</v>
      </c>
    </row>
    <row r="746" spans="1:13" x14ac:dyDescent="0.3">
      <c r="A746" t="s">
        <v>1607</v>
      </c>
      <c r="B746" t="s">
        <v>1608</v>
      </c>
      <c r="C746" t="s">
        <v>15</v>
      </c>
      <c r="D746" t="s">
        <v>1302</v>
      </c>
      <c r="E746">
        <v>2911</v>
      </c>
      <c r="F746">
        <v>1799</v>
      </c>
      <c r="G746">
        <v>38</v>
      </c>
      <c r="H746">
        <v>1112</v>
      </c>
      <c r="I746" t="s">
        <v>167</v>
      </c>
      <c r="J746">
        <v>4.3</v>
      </c>
      <c r="K746">
        <v>20342</v>
      </c>
      <c r="L746">
        <v>0.1892543859649122</v>
      </c>
      <c r="M746" t="s">
        <v>18</v>
      </c>
    </row>
    <row r="747" spans="1:13" x14ac:dyDescent="0.3">
      <c r="A747" t="s">
        <v>1609</v>
      </c>
      <c r="B747" t="s">
        <v>1610</v>
      </c>
      <c r="C747" t="s">
        <v>1215</v>
      </c>
      <c r="D747" t="s">
        <v>1367</v>
      </c>
      <c r="E747">
        <v>175</v>
      </c>
      <c r="F747">
        <v>90</v>
      </c>
      <c r="G747">
        <v>49</v>
      </c>
      <c r="H747">
        <v>85</v>
      </c>
      <c r="I747" t="s">
        <v>17</v>
      </c>
      <c r="J747">
        <v>4.4000000000000004</v>
      </c>
      <c r="K747">
        <v>7429</v>
      </c>
      <c r="L747">
        <v>0.6</v>
      </c>
      <c r="M747" t="s">
        <v>18</v>
      </c>
    </row>
    <row r="748" spans="1:13" x14ac:dyDescent="0.3">
      <c r="A748" t="s">
        <v>1611</v>
      </c>
      <c r="B748" t="s">
        <v>1612</v>
      </c>
      <c r="C748" t="s">
        <v>15</v>
      </c>
      <c r="D748" t="s">
        <v>1179</v>
      </c>
      <c r="E748">
        <v>599</v>
      </c>
      <c r="F748">
        <v>599</v>
      </c>
      <c r="G748">
        <v>0</v>
      </c>
      <c r="H748">
        <v>0</v>
      </c>
      <c r="I748" t="s">
        <v>64</v>
      </c>
      <c r="J748">
        <v>4</v>
      </c>
      <c r="K748">
        <v>26423</v>
      </c>
      <c r="L748">
        <v>0.31083333333333329</v>
      </c>
      <c r="M748" t="s">
        <v>18</v>
      </c>
    </row>
    <row r="749" spans="1:13" x14ac:dyDescent="0.3">
      <c r="A749" t="s">
        <v>1613</v>
      </c>
      <c r="B749" t="s">
        <v>1614</v>
      </c>
      <c r="C749" t="s">
        <v>44</v>
      </c>
      <c r="D749" t="s">
        <v>706</v>
      </c>
      <c r="E749">
        <v>7999</v>
      </c>
      <c r="F749">
        <v>1999</v>
      </c>
      <c r="G749">
        <v>75</v>
      </c>
      <c r="H749">
        <v>6000</v>
      </c>
      <c r="I749" t="s">
        <v>167</v>
      </c>
      <c r="J749">
        <v>4.2</v>
      </c>
      <c r="K749">
        <v>31305</v>
      </c>
      <c r="L749">
        <v>0.34080988455988459</v>
      </c>
      <c r="M749" t="s">
        <v>18</v>
      </c>
    </row>
    <row r="750" spans="1:13" x14ac:dyDescent="0.3">
      <c r="A750" t="s">
        <v>1615</v>
      </c>
      <c r="B750" t="s">
        <v>1616</v>
      </c>
      <c r="C750" t="s">
        <v>15</v>
      </c>
      <c r="D750" t="s">
        <v>1617</v>
      </c>
      <c r="E750">
        <v>3250</v>
      </c>
      <c r="F750">
        <v>2099</v>
      </c>
      <c r="G750">
        <v>35</v>
      </c>
      <c r="H750">
        <v>1151</v>
      </c>
      <c r="I750" t="s">
        <v>167</v>
      </c>
      <c r="J750">
        <v>3.8</v>
      </c>
      <c r="K750">
        <v>11213</v>
      </c>
      <c r="L750">
        <v>0.14117647058823529</v>
      </c>
      <c r="M750" t="s">
        <v>18</v>
      </c>
    </row>
    <row r="751" spans="1:13" x14ac:dyDescent="0.3">
      <c r="A751" t="s">
        <v>1618</v>
      </c>
      <c r="B751" t="s">
        <v>1619</v>
      </c>
      <c r="C751" t="s">
        <v>15</v>
      </c>
      <c r="D751" t="s">
        <v>1620</v>
      </c>
      <c r="E751">
        <v>499</v>
      </c>
      <c r="F751">
        <v>179</v>
      </c>
      <c r="G751">
        <v>64</v>
      </c>
      <c r="H751">
        <v>320</v>
      </c>
      <c r="I751" t="s">
        <v>17</v>
      </c>
      <c r="J751">
        <v>4.0999999999999996</v>
      </c>
      <c r="K751">
        <v>10174</v>
      </c>
      <c r="L751">
        <v>0.3</v>
      </c>
      <c r="M751" t="s">
        <v>18</v>
      </c>
    </row>
    <row r="752" spans="1:13" x14ac:dyDescent="0.3">
      <c r="A752" t="s">
        <v>1621</v>
      </c>
      <c r="B752" t="s">
        <v>1622</v>
      </c>
      <c r="C752" t="s">
        <v>15</v>
      </c>
      <c r="D752" t="s">
        <v>1227</v>
      </c>
      <c r="E752">
        <v>2295</v>
      </c>
      <c r="F752">
        <v>1345</v>
      </c>
      <c r="G752">
        <v>41</v>
      </c>
      <c r="H752">
        <v>950</v>
      </c>
      <c r="I752" t="s">
        <v>64</v>
      </c>
      <c r="J752">
        <v>4.2</v>
      </c>
      <c r="K752">
        <v>17413</v>
      </c>
      <c r="L752">
        <v>0.15715893541324569</v>
      </c>
      <c r="M752" t="s">
        <v>18</v>
      </c>
    </row>
    <row r="753" spans="1:13" x14ac:dyDescent="0.3">
      <c r="A753" t="s">
        <v>1623</v>
      </c>
      <c r="B753" t="s">
        <v>1624</v>
      </c>
      <c r="C753" t="s">
        <v>44</v>
      </c>
      <c r="D753" t="s">
        <v>1257</v>
      </c>
      <c r="E753">
        <v>995</v>
      </c>
      <c r="F753">
        <v>349</v>
      </c>
      <c r="G753">
        <v>65</v>
      </c>
      <c r="H753">
        <v>646</v>
      </c>
      <c r="I753" t="s">
        <v>17</v>
      </c>
      <c r="J753">
        <v>4.2</v>
      </c>
      <c r="K753">
        <v>6676</v>
      </c>
      <c r="L753">
        <v>0.29823696145124717</v>
      </c>
      <c r="M753" t="s">
        <v>18</v>
      </c>
    </row>
    <row r="754" spans="1:13" x14ac:dyDescent="0.3">
      <c r="A754" t="s">
        <v>1625</v>
      </c>
      <c r="B754" t="s">
        <v>1626</v>
      </c>
      <c r="C754" t="s">
        <v>15</v>
      </c>
      <c r="D754" t="s">
        <v>1495</v>
      </c>
      <c r="E754">
        <v>499</v>
      </c>
      <c r="F754">
        <v>287</v>
      </c>
      <c r="G754">
        <v>42</v>
      </c>
      <c r="H754">
        <v>212</v>
      </c>
      <c r="I754" t="s">
        <v>17</v>
      </c>
      <c r="J754">
        <v>4.4000000000000004</v>
      </c>
      <c r="K754">
        <v>8076</v>
      </c>
      <c r="L754">
        <v>0.39999999999999991</v>
      </c>
      <c r="M754" t="s">
        <v>18</v>
      </c>
    </row>
    <row r="755" spans="1:13" x14ac:dyDescent="0.3">
      <c r="A755" t="s">
        <v>1627</v>
      </c>
      <c r="B755" t="s">
        <v>1628</v>
      </c>
      <c r="C755" t="s">
        <v>15</v>
      </c>
      <c r="D755" t="s">
        <v>1168</v>
      </c>
      <c r="E755">
        <v>450</v>
      </c>
      <c r="F755">
        <v>349</v>
      </c>
      <c r="G755">
        <v>22</v>
      </c>
      <c r="H755">
        <v>101</v>
      </c>
      <c r="I755" t="s">
        <v>17</v>
      </c>
      <c r="J755">
        <v>4.0999999999999996</v>
      </c>
      <c r="K755">
        <v>18656</v>
      </c>
      <c r="L755">
        <v>0.22395833333333329</v>
      </c>
      <c r="M755" t="s">
        <v>18</v>
      </c>
    </row>
    <row r="756" spans="1:13" x14ac:dyDescent="0.3">
      <c r="A756" t="s">
        <v>1629</v>
      </c>
      <c r="B756" t="s">
        <v>1630</v>
      </c>
      <c r="C756" t="s">
        <v>44</v>
      </c>
      <c r="D756" t="s">
        <v>1212</v>
      </c>
      <c r="E756">
        <v>1109</v>
      </c>
      <c r="F756">
        <v>879</v>
      </c>
      <c r="G756">
        <v>21</v>
      </c>
      <c r="H756">
        <v>230</v>
      </c>
      <c r="I756" t="s">
        <v>64</v>
      </c>
      <c r="J756">
        <v>4.4000000000000004</v>
      </c>
      <c r="K756">
        <v>31599</v>
      </c>
      <c r="L756">
        <v>0.27848484848484839</v>
      </c>
      <c r="M756" t="s">
        <v>18</v>
      </c>
    </row>
    <row r="757" spans="1:13" x14ac:dyDescent="0.3">
      <c r="A757" t="s">
        <v>1631</v>
      </c>
      <c r="B757" t="s">
        <v>1632</v>
      </c>
      <c r="C757" t="s">
        <v>44</v>
      </c>
      <c r="D757" t="s">
        <v>1345</v>
      </c>
      <c r="E757">
        <v>250</v>
      </c>
      <c r="F757">
        <v>250</v>
      </c>
      <c r="G757">
        <v>0</v>
      </c>
      <c r="H757">
        <v>0</v>
      </c>
      <c r="I757" t="s">
        <v>17</v>
      </c>
      <c r="J757">
        <v>3.9</v>
      </c>
      <c r="K757">
        <v>13971</v>
      </c>
      <c r="L757">
        <v>0.1559523809523809</v>
      </c>
      <c r="M757" t="s">
        <v>18</v>
      </c>
    </row>
    <row r="758" spans="1:13" x14ac:dyDescent="0.3">
      <c r="A758" t="s">
        <v>1633</v>
      </c>
      <c r="B758" t="s">
        <v>1634</v>
      </c>
      <c r="C758" t="s">
        <v>44</v>
      </c>
      <c r="D758" t="s">
        <v>737</v>
      </c>
      <c r="E758">
        <v>499</v>
      </c>
      <c r="F758">
        <v>199</v>
      </c>
      <c r="G758">
        <v>60</v>
      </c>
      <c r="H758">
        <v>300</v>
      </c>
      <c r="I758" t="s">
        <v>17</v>
      </c>
      <c r="J758">
        <v>3.6</v>
      </c>
      <c r="K758">
        <v>2492</v>
      </c>
      <c r="L758">
        <v>0.23849462365591401</v>
      </c>
      <c r="M758" t="s">
        <v>18</v>
      </c>
    </row>
    <row r="759" spans="1:13" x14ac:dyDescent="0.3">
      <c r="A759" t="s">
        <v>1635</v>
      </c>
      <c r="B759" t="s">
        <v>1636</v>
      </c>
      <c r="C759" t="s">
        <v>15</v>
      </c>
      <c r="D759" t="s">
        <v>1620</v>
      </c>
      <c r="E759">
        <v>999</v>
      </c>
      <c r="F759">
        <v>149</v>
      </c>
      <c r="G759">
        <v>85</v>
      </c>
      <c r="H759">
        <v>850</v>
      </c>
      <c r="I759" t="s">
        <v>17</v>
      </c>
      <c r="J759">
        <v>3.5</v>
      </c>
      <c r="K759">
        <v>2523</v>
      </c>
      <c r="L759">
        <v>6.1111111111111102E-2</v>
      </c>
      <c r="M759" t="s">
        <v>103</v>
      </c>
    </row>
    <row r="760" spans="1:13" x14ac:dyDescent="0.3">
      <c r="A760" t="s">
        <v>1637</v>
      </c>
      <c r="B760" t="s">
        <v>1638</v>
      </c>
      <c r="C760" t="s">
        <v>15</v>
      </c>
      <c r="D760" t="s">
        <v>1174</v>
      </c>
      <c r="E760">
        <v>1499</v>
      </c>
      <c r="F760">
        <v>469</v>
      </c>
      <c r="G760">
        <v>69</v>
      </c>
      <c r="H760">
        <v>1030</v>
      </c>
      <c r="I760" t="s">
        <v>17</v>
      </c>
      <c r="J760">
        <v>4.0999999999999996</v>
      </c>
      <c r="K760">
        <v>352</v>
      </c>
      <c r="L760">
        <v>0.238095238095238</v>
      </c>
      <c r="M760" t="s">
        <v>18</v>
      </c>
    </row>
    <row r="761" spans="1:13" x14ac:dyDescent="0.3">
      <c r="A761" t="s">
        <v>1639</v>
      </c>
      <c r="B761" t="s">
        <v>1640</v>
      </c>
      <c r="C761" t="s">
        <v>15</v>
      </c>
      <c r="D761" t="s">
        <v>1441</v>
      </c>
      <c r="E761">
        <v>1929</v>
      </c>
      <c r="F761">
        <v>1187</v>
      </c>
      <c r="G761">
        <v>38</v>
      </c>
      <c r="H761">
        <v>742</v>
      </c>
      <c r="I761" t="s">
        <v>64</v>
      </c>
      <c r="J761">
        <v>4.0999999999999996</v>
      </c>
      <c r="K761">
        <v>1662</v>
      </c>
      <c r="L761">
        <v>0.16077083333333331</v>
      </c>
      <c r="M761" t="s">
        <v>18</v>
      </c>
    </row>
    <row r="762" spans="1:13" x14ac:dyDescent="0.3">
      <c r="A762" t="s">
        <v>1641</v>
      </c>
      <c r="B762" t="s">
        <v>1642</v>
      </c>
      <c r="C762" t="s">
        <v>15</v>
      </c>
      <c r="D762" t="s">
        <v>1643</v>
      </c>
      <c r="E762">
        <v>1499</v>
      </c>
      <c r="F762">
        <v>849</v>
      </c>
      <c r="G762">
        <v>43</v>
      </c>
      <c r="H762">
        <v>650</v>
      </c>
      <c r="I762" t="s">
        <v>64</v>
      </c>
      <c r="J762">
        <v>4</v>
      </c>
      <c r="K762">
        <v>7352</v>
      </c>
      <c r="L762">
        <v>0.4538461538461539</v>
      </c>
      <c r="M762" t="s">
        <v>18</v>
      </c>
    </row>
    <row r="763" spans="1:13" x14ac:dyDescent="0.3">
      <c r="A763" t="s">
        <v>1644</v>
      </c>
      <c r="B763" t="s">
        <v>1645</v>
      </c>
      <c r="C763" t="s">
        <v>15</v>
      </c>
      <c r="D763" t="s">
        <v>1171</v>
      </c>
      <c r="E763">
        <v>399</v>
      </c>
      <c r="F763">
        <v>328</v>
      </c>
      <c r="G763">
        <v>18</v>
      </c>
      <c r="H763">
        <v>71</v>
      </c>
      <c r="I763" t="s">
        <v>17</v>
      </c>
      <c r="J763">
        <v>4.0999999999999996</v>
      </c>
      <c r="K763">
        <v>3441</v>
      </c>
      <c r="L763">
        <v>0.34499999999999997</v>
      </c>
      <c r="M763" t="s">
        <v>18</v>
      </c>
    </row>
    <row r="764" spans="1:13" x14ac:dyDescent="0.3">
      <c r="A764" t="s">
        <v>1646</v>
      </c>
      <c r="B764" t="s">
        <v>1647</v>
      </c>
      <c r="C764" t="s">
        <v>15</v>
      </c>
      <c r="D764" t="s">
        <v>1179</v>
      </c>
      <c r="E764">
        <v>699</v>
      </c>
      <c r="F764">
        <v>269</v>
      </c>
      <c r="G764">
        <v>62</v>
      </c>
      <c r="H764">
        <v>430</v>
      </c>
      <c r="I764" t="s">
        <v>17</v>
      </c>
      <c r="J764">
        <v>4</v>
      </c>
      <c r="K764">
        <v>93</v>
      </c>
      <c r="L764">
        <v>0.2036842105263158</v>
      </c>
      <c r="M764" t="s">
        <v>18</v>
      </c>
    </row>
    <row r="765" spans="1:13" x14ac:dyDescent="0.3">
      <c r="A765" t="s">
        <v>1648</v>
      </c>
      <c r="B765" t="s">
        <v>1649</v>
      </c>
      <c r="C765" t="s">
        <v>44</v>
      </c>
      <c r="D765" t="s">
        <v>1650</v>
      </c>
      <c r="E765">
        <v>400</v>
      </c>
      <c r="F765">
        <v>299</v>
      </c>
      <c r="G765">
        <v>25</v>
      </c>
      <c r="H765">
        <v>101</v>
      </c>
      <c r="I765" t="s">
        <v>17</v>
      </c>
      <c r="J765">
        <v>3.8</v>
      </c>
      <c r="K765">
        <v>40895</v>
      </c>
      <c r="L765">
        <v>0.1422619047619047</v>
      </c>
      <c r="M765" t="s">
        <v>18</v>
      </c>
    </row>
    <row r="766" spans="1:13" x14ac:dyDescent="0.3">
      <c r="A766" t="s">
        <v>1651</v>
      </c>
      <c r="B766" t="s">
        <v>1652</v>
      </c>
      <c r="C766" t="s">
        <v>15</v>
      </c>
      <c r="D766" t="s">
        <v>1530</v>
      </c>
      <c r="E766">
        <v>1499</v>
      </c>
      <c r="F766">
        <v>549</v>
      </c>
      <c r="G766">
        <v>63</v>
      </c>
      <c r="H766">
        <v>950</v>
      </c>
      <c r="I766" t="s">
        <v>64</v>
      </c>
      <c r="J766">
        <v>4.3</v>
      </c>
      <c r="K766">
        <v>11006</v>
      </c>
      <c r="L766">
        <v>0.2853174603174603</v>
      </c>
      <c r="M766" t="s">
        <v>18</v>
      </c>
    </row>
    <row r="767" spans="1:13" x14ac:dyDescent="0.3">
      <c r="A767" t="s">
        <v>1653</v>
      </c>
      <c r="B767" t="s">
        <v>1654</v>
      </c>
      <c r="C767" t="s">
        <v>1215</v>
      </c>
      <c r="D767" t="s">
        <v>1340</v>
      </c>
      <c r="E767">
        <v>120</v>
      </c>
      <c r="F767">
        <v>114</v>
      </c>
      <c r="G767">
        <v>5</v>
      </c>
      <c r="H767">
        <v>6</v>
      </c>
      <c r="I767" t="s">
        <v>17</v>
      </c>
      <c r="J767">
        <v>4.2</v>
      </c>
      <c r="K767">
        <v>8938</v>
      </c>
      <c r="L767">
        <v>0.23652777777777781</v>
      </c>
      <c r="M767" t="s">
        <v>18</v>
      </c>
    </row>
    <row r="768" spans="1:13" x14ac:dyDescent="0.3">
      <c r="A768" t="s">
        <v>1655</v>
      </c>
      <c r="B768" t="s">
        <v>1656</v>
      </c>
      <c r="C768" t="s">
        <v>1215</v>
      </c>
      <c r="D768" t="s">
        <v>1657</v>
      </c>
      <c r="E768">
        <v>120</v>
      </c>
      <c r="F768">
        <v>120</v>
      </c>
      <c r="G768">
        <v>0</v>
      </c>
      <c r="H768">
        <v>0</v>
      </c>
      <c r="I768" t="s">
        <v>17</v>
      </c>
      <c r="J768">
        <v>4.0999999999999996</v>
      </c>
      <c r="K768">
        <v>4308</v>
      </c>
      <c r="L768">
        <v>0.1229166666666666</v>
      </c>
      <c r="M768" t="s">
        <v>18</v>
      </c>
    </row>
    <row r="769" spans="1:13" x14ac:dyDescent="0.3">
      <c r="A769" t="s">
        <v>1658</v>
      </c>
      <c r="B769" t="s">
        <v>1659</v>
      </c>
      <c r="C769" t="s">
        <v>15</v>
      </c>
      <c r="D769" t="s">
        <v>1171</v>
      </c>
      <c r="E769">
        <v>2295</v>
      </c>
      <c r="F769">
        <v>1490</v>
      </c>
      <c r="G769">
        <v>35</v>
      </c>
      <c r="H769">
        <v>805</v>
      </c>
      <c r="I769" t="s">
        <v>64</v>
      </c>
      <c r="J769">
        <v>4.5999999999999996</v>
      </c>
      <c r="K769">
        <v>10652</v>
      </c>
      <c r="L769">
        <v>0.2596969696969697</v>
      </c>
      <c r="M769" t="s">
        <v>18</v>
      </c>
    </row>
    <row r="770" spans="1:13" x14ac:dyDescent="0.3">
      <c r="A770" t="s">
        <v>1660</v>
      </c>
      <c r="B770" t="s">
        <v>1661</v>
      </c>
      <c r="C770" t="s">
        <v>1219</v>
      </c>
      <c r="D770" t="s">
        <v>1662</v>
      </c>
      <c r="E770">
        <v>99</v>
      </c>
      <c r="F770">
        <v>99</v>
      </c>
      <c r="G770">
        <v>0</v>
      </c>
      <c r="H770">
        <v>0</v>
      </c>
      <c r="I770" t="s">
        <v>17</v>
      </c>
      <c r="J770">
        <v>4.3</v>
      </c>
      <c r="K770">
        <v>5036</v>
      </c>
      <c r="L770">
        <v>0.56666666666666665</v>
      </c>
      <c r="M770" t="s">
        <v>18</v>
      </c>
    </row>
    <row r="771" spans="1:13" x14ac:dyDescent="0.3">
      <c r="A771" t="s">
        <v>1663</v>
      </c>
      <c r="B771" t="s">
        <v>1664</v>
      </c>
      <c r="C771" t="s">
        <v>15</v>
      </c>
      <c r="D771" t="s">
        <v>1171</v>
      </c>
      <c r="E771">
        <v>249</v>
      </c>
      <c r="F771">
        <v>149</v>
      </c>
      <c r="G771">
        <v>40</v>
      </c>
      <c r="H771">
        <v>100</v>
      </c>
      <c r="I771" t="s">
        <v>17</v>
      </c>
      <c r="J771">
        <v>4</v>
      </c>
      <c r="K771">
        <v>5057</v>
      </c>
      <c r="L771">
        <v>0.23369318181818169</v>
      </c>
      <c r="M771" t="s">
        <v>18</v>
      </c>
    </row>
    <row r="772" spans="1:13" x14ac:dyDescent="0.3">
      <c r="A772" t="s">
        <v>1665</v>
      </c>
      <c r="B772" t="s">
        <v>1666</v>
      </c>
      <c r="C772" t="s">
        <v>15</v>
      </c>
      <c r="D772" t="s">
        <v>1276</v>
      </c>
      <c r="E772">
        <v>2799</v>
      </c>
      <c r="F772">
        <v>575</v>
      </c>
      <c r="G772">
        <v>79</v>
      </c>
      <c r="H772">
        <v>2224</v>
      </c>
      <c r="I772" t="s">
        <v>64</v>
      </c>
      <c r="J772">
        <v>4.2</v>
      </c>
      <c r="K772">
        <v>8537</v>
      </c>
      <c r="L772">
        <v>0.46470588235294108</v>
      </c>
      <c r="M772" t="s">
        <v>18</v>
      </c>
    </row>
    <row r="773" spans="1:13" x14ac:dyDescent="0.3">
      <c r="A773" t="s">
        <v>1667</v>
      </c>
      <c r="B773" t="s">
        <v>1668</v>
      </c>
      <c r="C773" t="s">
        <v>1215</v>
      </c>
      <c r="D773" t="s">
        <v>1490</v>
      </c>
      <c r="E773">
        <v>210</v>
      </c>
      <c r="F773">
        <v>178</v>
      </c>
      <c r="G773">
        <v>15</v>
      </c>
      <c r="H773">
        <v>32</v>
      </c>
      <c r="I773" t="s">
        <v>17</v>
      </c>
      <c r="J773">
        <v>4.3</v>
      </c>
      <c r="K773">
        <v>2450</v>
      </c>
      <c r="L773">
        <v>0.3841666666666666</v>
      </c>
      <c r="M773" t="s">
        <v>18</v>
      </c>
    </row>
    <row r="774" spans="1:13" x14ac:dyDescent="0.3">
      <c r="A774" t="s">
        <v>1669</v>
      </c>
      <c r="B774" t="s">
        <v>1670</v>
      </c>
      <c r="C774" t="s">
        <v>44</v>
      </c>
      <c r="D774" t="s">
        <v>737</v>
      </c>
      <c r="E774">
        <v>3490</v>
      </c>
      <c r="F774">
        <v>1599</v>
      </c>
      <c r="G774">
        <v>54</v>
      </c>
      <c r="H774">
        <v>1891</v>
      </c>
      <c r="I774" t="s">
        <v>167</v>
      </c>
      <c r="J774">
        <v>3.7</v>
      </c>
      <c r="K774">
        <v>676</v>
      </c>
      <c r="L774">
        <v>0.20699855699855699</v>
      </c>
      <c r="M774" t="s">
        <v>18</v>
      </c>
    </row>
    <row r="775" spans="1:13" x14ac:dyDescent="0.3">
      <c r="A775" t="s">
        <v>1671</v>
      </c>
      <c r="B775" t="s">
        <v>1672</v>
      </c>
      <c r="C775" t="s">
        <v>44</v>
      </c>
      <c r="D775" t="s">
        <v>737</v>
      </c>
      <c r="E775">
        <v>1299</v>
      </c>
      <c r="F775">
        <v>499</v>
      </c>
      <c r="G775">
        <v>62</v>
      </c>
      <c r="H775">
        <v>800</v>
      </c>
      <c r="I775" t="s">
        <v>17</v>
      </c>
      <c r="J775">
        <v>3.9</v>
      </c>
      <c r="K775">
        <v>1173</v>
      </c>
      <c r="L775">
        <v>0.29422413793103452</v>
      </c>
      <c r="M775" t="s">
        <v>18</v>
      </c>
    </row>
    <row r="776" spans="1:13" x14ac:dyDescent="0.3">
      <c r="A776" t="s">
        <v>1673</v>
      </c>
      <c r="B776" t="s">
        <v>1674</v>
      </c>
      <c r="C776" t="s">
        <v>15</v>
      </c>
      <c r="D776" t="s">
        <v>1282</v>
      </c>
      <c r="E776">
        <v>499</v>
      </c>
      <c r="F776">
        <v>199</v>
      </c>
      <c r="G776">
        <v>60</v>
      </c>
      <c r="H776">
        <v>300</v>
      </c>
      <c r="I776" t="s">
        <v>17</v>
      </c>
      <c r="J776">
        <v>4.3</v>
      </c>
      <c r="K776">
        <v>9998</v>
      </c>
      <c r="L776">
        <v>0.41111111111111109</v>
      </c>
      <c r="M776" t="s">
        <v>18</v>
      </c>
    </row>
    <row r="777" spans="1:13" x14ac:dyDescent="0.3">
      <c r="A777" t="s">
        <v>1675</v>
      </c>
      <c r="B777" t="s">
        <v>1676</v>
      </c>
      <c r="C777" t="s">
        <v>44</v>
      </c>
      <c r="D777" t="s">
        <v>706</v>
      </c>
      <c r="E777">
        <v>5999</v>
      </c>
      <c r="F777">
        <v>2499</v>
      </c>
      <c r="G777">
        <v>58</v>
      </c>
      <c r="H777">
        <v>3500</v>
      </c>
      <c r="I777" t="s">
        <v>167</v>
      </c>
      <c r="J777">
        <v>4.0999999999999996</v>
      </c>
      <c r="K777">
        <v>5852</v>
      </c>
      <c r="L777">
        <v>0.65</v>
      </c>
      <c r="M777" t="s">
        <v>18</v>
      </c>
    </row>
    <row r="778" spans="1:13" x14ac:dyDescent="0.3">
      <c r="A778" t="s">
        <v>1677</v>
      </c>
      <c r="B778" t="s">
        <v>1678</v>
      </c>
      <c r="C778" t="s">
        <v>15</v>
      </c>
      <c r="D778" t="s">
        <v>1679</v>
      </c>
      <c r="E778">
        <v>999</v>
      </c>
      <c r="F778">
        <v>199</v>
      </c>
      <c r="G778">
        <v>80</v>
      </c>
      <c r="H778">
        <v>800</v>
      </c>
      <c r="I778" t="s">
        <v>17</v>
      </c>
      <c r="J778">
        <v>4.2</v>
      </c>
      <c r="K778">
        <v>362</v>
      </c>
      <c r="L778">
        <v>0.26330787878787881</v>
      </c>
      <c r="M778" t="s">
        <v>18</v>
      </c>
    </row>
    <row r="779" spans="1:13" x14ac:dyDescent="0.3">
      <c r="A779" t="s">
        <v>1680</v>
      </c>
      <c r="B779" t="s">
        <v>1681</v>
      </c>
      <c r="C779" t="s">
        <v>44</v>
      </c>
      <c r="D779" t="s">
        <v>727</v>
      </c>
      <c r="E779">
        <v>1800</v>
      </c>
      <c r="F779">
        <v>939</v>
      </c>
      <c r="G779">
        <v>48</v>
      </c>
      <c r="H779">
        <v>861</v>
      </c>
      <c r="I779" t="s">
        <v>64</v>
      </c>
      <c r="J779">
        <v>4.5</v>
      </c>
      <c r="K779">
        <v>205052</v>
      </c>
      <c r="L779">
        <v>0.19620833333333329</v>
      </c>
      <c r="M779" t="s">
        <v>18</v>
      </c>
    </row>
    <row r="780" spans="1:13" x14ac:dyDescent="0.3">
      <c r="A780" t="s">
        <v>1682</v>
      </c>
      <c r="B780" t="s">
        <v>1683</v>
      </c>
      <c r="C780" t="s">
        <v>44</v>
      </c>
      <c r="D780" t="s">
        <v>706</v>
      </c>
      <c r="E780">
        <v>9999</v>
      </c>
      <c r="F780">
        <v>2499</v>
      </c>
      <c r="G780">
        <v>75</v>
      </c>
      <c r="H780">
        <v>7500</v>
      </c>
      <c r="I780" t="s">
        <v>167</v>
      </c>
      <c r="J780">
        <v>4</v>
      </c>
      <c r="K780">
        <v>9090</v>
      </c>
      <c r="L780">
        <v>0.2650520833333333</v>
      </c>
      <c r="M780" t="s">
        <v>18</v>
      </c>
    </row>
    <row r="781" spans="1:13" x14ac:dyDescent="0.3">
      <c r="A781" t="s">
        <v>1684</v>
      </c>
      <c r="B781" t="s">
        <v>1685</v>
      </c>
      <c r="C781" t="s">
        <v>15</v>
      </c>
      <c r="D781" t="s">
        <v>1171</v>
      </c>
      <c r="E781">
        <v>2890</v>
      </c>
      <c r="F781">
        <v>1439</v>
      </c>
      <c r="G781">
        <v>50</v>
      </c>
      <c r="H781">
        <v>1451</v>
      </c>
      <c r="I781" t="s">
        <v>64</v>
      </c>
      <c r="J781">
        <v>4.5</v>
      </c>
      <c r="K781">
        <v>4099</v>
      </c>
      <c r="L781">
        <v>0.43607843137254898</v>
      </c>
      <c r="M781" t="s">
        <v>18</v>
      </c>
    </row>
    <row r="782" spans="1:13" x14ac:dyDescent="0.3">
      <c r="A782" t="s">
        <v>1686</v>
      </c>
      <c r="B782" t="s">
        <v>1687</v>
      </c>
      <c r="C782" t="s">
        <v>44</v>
      </c>
      <c r="D782" t="s">
        <v>737</v>
      </c>
      <c r="E782">
        <v>5999</v>
      </c>
      <c r="F782">
        <v>1099</v>
      </c>
      <c r="G782">
        <v>82</v>
      </c>
      <c r="H782">
        <v>4900</v>
      </c>
      <c r="I782" t="s">
        <v>64</v>
      </c>
      <c r="J782">
        <v>3.5</v>
      </c>
      <c r="K782">
        <v>12966</v>
      </c>
      <c r="L782">
        <v>0.13986434108527129</v>
      </c>
      <c r="M782" t="s">
        <v>18</v>
      </c>
    </row>
    <row r="783" spans="1:13" x14ac:dyDescent="0.3">
      <c r="A783" t="s">
        <v>1688</v>
      </c>
      <c r="B783" t="s">
        <v>1689</v>
      </c>
      <c r="C783" t="s">
        <v>1215</v>
      </c>
      <c r="D783" t="s">
        <v>1340</v>
      </c>
      <c r="E783">
        <v>160</v>
      </c>
      <c r="F783">
        <v>157</v>
      </c>
      <c r="G783">
        <v>2</v>
      </c>
      <c r="H783">
        <v>3</v>
      </c>
      <c r="I783" t="s">
        <v>17</v>
      </c>
      <c r="J783">
        <v>4.5</v>
      </c>
      <c r="K783">
        <v>4428</v>
      </c>
      <c r="L783">
        <v>0.25565476190476188</v>
      </c>
      <c r="M783" t="s">
        <v>18</v>
      </c>
    </row>
    <row r="784" spans="1:13" x14ac:dyDescent="0.3">
      <c r="A784" t="s">
        <v>1690</v>
      </c>
      <c r="B784" t="s">
        <v>1691</v>
      </c>
      <c r="C784" t="s">
        <v>15</v>
      </c>
      <c r="D784" t="s">
        <v>1263</v>
      </c>
      <c r="E784">
        <v>999</v>
      </c>
      <c r="F784">
        <v>115</v>
      </c>
      <c r="G784">
        <v>88</v>
      </c>
      <c r="H784">
        <v>884</v>
      </c>
      <c r="I784" t="s">
        <v>17</v>
      </c>
      <c r="J784">
        <v>3.3</v>
      </c>
      <c r="K784">
        <v>5692</v>
      </c>
      <c r="L784">
        <v>0.12999999999999989</v>
      </c>
      <c r="M784" t="s">
        <v>18</v>
      </c>
    </row>
    <row r="785" spans="1:13" x14ac:dyDescent="0.3">
      <c r="A785" t="s">
        <v>1692</v>
      </c>
      <c r="B785" t="s">
        <v>1693</v>
      </c>
      <c r="C785" t="s">
        <v>15</v>
      </c>
      <c r="D785" t="s">
        <v>1174</v>
      </c>
      <c r="E785">
        <v>499</v>
      </c>
      <c r="F785">
        <v>175</v>
      </c>
      <c r="G785">
        <v>65</v>
      </c>
      <c r="H785">
        <v>324</v>
      </c>
      <c r="I785" t="s">
        <v>17</v>
      </c>
      <c r="J785">
        <v>4.0999999999999996</v>
      </c>
      <c r="K785">
        <v>21</v>
      </c>
      <c r="L785">
        <v>0.23791666666666669</v>
      </c>
      <c r="M785" t="s">
        <v>18</v>
      </c>
    </row>
    <row r="786" spans="1:13" x14ac:dyDescent="0.3">
      <c r="A786" t="s">
        <v>1694</v>
      </c>
      <c r="B786" t="s">
        <v>1695</v>
      </c>
      <c r="C786" t="s">
        <v>44</v>
      </c>
      <c r="D786" t="s">
        <v>1400</v>
      </c>
      <c r="E786">
        <v>4700</v>
      </c>
      <c r="F786">
        <v>1999</v>
      </c>
      <c r="G786">
        <v>57</v>
      </c>
      <c r="H786">
        <v>2701</v>
      </c>
      <c r="I786" t="s">
        <v>167</v>
      </c>
      <c r="J786">
        <v>3.8</v>
      </c>
      <c r="K786">
        <v>1880</v>
      </c>
      <c r="L786">
        <v>0.73499999999999999</v>
      </c>
      <c r="M786" t="s">
        <v>18</v>
      </c>
    </row>
    <row r="787" spans="1:13" x14ac:dyDescent="0.3">
      <c r="A787" t="s">
        <v>1696</v>
      </c>
      <c r="B787" t="s">
        <v>1697</v>
      </c>
      <c r="C787" t="s">
        <v>15</v>
      </c>
      <c r="D787" t="s">
        <v>1698</v>
      </c>
      <c r="E787">
        <v>4332.96</v>
      </c>
      <c r="F787">
        <v>3999</v>
      </c>
      <c r="G787">
        <v>8</v>
      </c>
      <c r="H787">
        <v>333.96</v>
      </c>
      <c r="I787" t="s">
        <v>167</v>
      </c>
      <c r="J787">
        <v>3.5</v>
      </c>
      <c r="K787">
        <v>21762</v>
      </c>
      <c r="L787">
        <v>6.5505050505050497E-2</v>
      </c>
      <c r="M787" t="s">
        <v>103</v>
      </c>
    </row>
    <row r="788" spans="1:13" x14ac:dyDescent="0.3">
      <c r="A788" t="s">
        <v>1699</v>
      </c>
      <c r="B788" t="s">
        <v>1700</v>
      </c>
      <c r="C788" t="s">
        <v>15</v>
      </c>
      <c r="D788" t="s">
        <v>1302</v>
      </c>
      <c r="E788">
        <v>1800</v>
      </c>
      <c r="F788">
        <v>899</v>
      </c>
      <c r="G788">
        <v>50</v>
      </c>
      <c r="H788">
        <v>901</v>
      </c>
      <c r="I788" t="s">
        <v>64</v>
      </c>
      <c r="J788">
        <v>4.0999999999999996</v>
      </c>
      <c r="K788">
        <v>22375</v>
      </c>
      <c r="L788">
        <v>0.34796085858585862</v>
      </c>
      <c r="M788" t="s">
        <v>18</v>
      </c>
    </row>
    <row r="789" spans="1:13" x14ac:dyDescent="0.3">
      <c r="A789" t="s">
        <v>1701</v>
      </c>
      <c r="B789" t="s">
        <v>1702</v>
      </c>
      <c r="C789" t="s">
        <v>15</v>
      </c>
      <c r="D789" t="s">
        <v>1282</v>
      </c>
      <c r="E789">
        <v>990</v>
      </c>
      <c r="F789">
        <v>299</v>
      </c>
      <c r="G789">
        <v>70</v>
      </c>
      <c r="H789">
        <v>691</v>
      </c>
      <c r="I789" t="s">
        <v>17</v>
      </c>
      <c r="J789">
        <v>4.5</v>
      </c>
      <c r="K789">
        <v>2453</v>
      </c>
      <c r="L789">
        <v>0.28690151515151507</v>
      </c>
      <c r="M789" t="s">
        <v>18</v>
      </c>
    </row>
    <row r="790" spans="1:13" x14ac:dyDescent="0.3">
      <c r="A790" t="s">
        <v>1703</v>
      </c>
      <c r="B790" t="s">
        <v>1704</v>
      </c>
      <c r="C790" t="s">
        <v>15</v>
      </c>
      <c r="D790" t="s">
        <v>1174</v>
      </c>
      <c r="E790">
        <v>4699</v>
      </c>
      <c r="F790">
        <v>3303</v>
      </c>
      <c r="G790">
        <v>30</v>
      </c>
      <c r="H790">
        <v>1396</v>
      </c>
      <c r="I790" t="s">
        <v>167</v>
      </c>
      <c r="J790">
        <v>4.4000000000000004</v>
      </c>
      <c r="K790">
        <v>13544</v>
      </c>
      <c r="L790">
        <v>0.23411255411255411</v>
      </c>
      <c r="M790" t="s">
        <v>18</v>
      </c>
    </row>
    <row r="791" spans="1:13" x14ac:dyDescent="0.3">
      <c r="A791" t="s">
        <v>1705</v>
      </c>
      <c r="B791" t="s">
        <v>1706</v>
      </c>
      <c r="C791" t="s">
        <v>15</v>
      </c>
      <c r="D791" t="s">
        <v>1547</v>
      </c>
      <c r="E791">
        <v>5490</v>
      </c>
      <c r="F791">
        <v>1890</v>
      </c>
      <c r="G791">
        <v>66</v>
      </c>
      <c r="H791">
        <v>3600</v>
      </c>
      <c r="I791" t="s">
        <v>167</v>
      </c>
      <c r="J791">
        <v>4.0999999999999996</v>
      </c>
      <c r="K791">
        <v>10976</v>
      </c>
      <c r="L791">
        <v>0.3475111111111111</v>
      </c>
      <c r="M791" t="s">
        <v>18</v>
      </c>
    </row>
    <row r="792" spans="1:13" x14ac:dyDescent="0.3">
      <c r="A792" t="s">
        <v>1707</v>
      </c>
      <c r="B792" t="s">
        <v>1708</v>
      </c>
      <c r="C792" t="s">
        <v>1215</v>
      </c>
      <c r="D792" t="s">
        <v>1472</v>
      </c>
      <c r="E792">
        <v>100</v>
      </c>
      <c r="F792">
        <v>90</v>
      </c>
      <c r="G792">
        <v>10</v>
      </c>
      <c r="H792">
        <v>10</v>
      </c>
      <c r="I792" t="s">
        <v>17</v>
      </c>
      <c r="J792">
        <v>4.3</v>
      </c>
      <c r="K792">
        <v>3061</v>
      </c>
      <c r="L792">
        <v>0.36398809523809511</v>
      </c>
      <c r="M792" t="s">
        <v>18</v>
      </c>
    </row>
    <row r="793" spans="1:13" x14ac:dyDescent="0.3">
      <c r="A793" t="s">
        <v>1709</v>
      </c>
      <c r="B793" t="s">
        <v>1710</v>
      </c>
      <c r="C793" t="s">
        <v>44</v>
      </c>
      <c r="D793" t="s">
        <v>737</v>
      </c>
      <c r="E793">
        <v>2790</v>
      </c>
      <c r="F793">
        <v>1599</v>
      </c>
      <c r="G793">
        <v>43</v>
      </c>
      <c r="H793">
        <v>1191</v>
      </c>
      <c r="I793" t="s">
        <v>167</v>
      </c>
      <c r="J793">
        <v>3.6</v>
      </c>
      <c r="K793">
        <v>2272</v>
      </c>
      <c r="L793">
        <v>0.1390921538008916</v>
      </c>
      <c r="M793" t="s">
        <v>18</v>
      </c>
    </row>
    <row r="794" spans="1:13" x14ac:dyDescent="0.3">
      <c r="A794" t="s">
        <v>1711</v>
      </c>
      <c r="B794" t="s">
        <v>1712</v>
      </c>
      <c r="C794" t="s">
        <v>15</v>
      </c>
      <c r="D794" t="s">
        <v>1554</v>
      </c>
      <c r="E794">
        <v>999</v>
      </c>
      <c r="F794">
        <v>599</v>
      </c>
      <c r="G794">
        <v>40</v>
      </c>
      <c r="H794">
        <v>400</v>
      </c>
      <c r="I794" t="s">
        <v>64</v>
      </c>
      <c r="J794">
        <v>4</v>
      </c>
      <c r="K794">
        <v>7601</v>
      </c>
      <c r="L794">
        <v>0.16652101370851369</v>
      </c>
      <c r="M794" t="s">
        <v>18</v>
      </c>
    </row>
    <row r="795" spans="1:13" x14ac:dyDescent="0.3">
      <c r="A795" t="s">
        <v>1713</v>
      </c>
      <c r="B795" t="s">
        <v>1714</v>
      </c>
      <c r="C795" t="s">
        <v>15</v>
      </c>
      <c r="D795" t="s">
        <v>1282</v>
      </c>
      <c r="E795">
        <v>899</v>
      </c>
      <c r="F795">
        <v>425</v>
      </c>
      <c r="G795">
        <v>53</v>
      </c>
      <c r="H795">
        <v>474</v>
      </c>
      <c r="I795" t="s">
        <v>17</v>
      </c>
      <c r="J795">
        <v>4.5</v>
      </c>
      <c r="K795">
        <v>4219</v>
      </c>
      <c r="L795">
        <v>0.234775641025641</v>
      </c>
      <c r="M795" t="s">
        <v>18</v>
      </c>
    </row>
    <row r="796" spans="1:13" x14ac:dyDescent="0.3">
      <c r="A796" t="s">
        <v>1715</v>
      </c>
      <c r="B796" t="s">
        <v>1716</v>
      </c>
      <c r="C796" t="s">
        <v>44</v>
      </c>
      <c r="D796" t="s">
        <v>1076</v>
      </c>
      <c r="E796">
        <v>3999</v>
      </c>
      <c r="F796">
        <v>1499</v>
      </c>
      <c r="G796">
        <v>63</v>
      </c>
      <c r="H796">
        <v>2500</v>
      </c>
      <c r="I796" t="s">
        <v>64</v>
      </c>
      <c r="J796">
        <v>4.2</v>
      </c>
      <c r="K796">
        <v>42775</v>
      </c>
      <c r="L796">
        <v>0.26530223329641928</v>
      </c>
      <c r="M796" t="s">
        <v>18</v>
      </c>
    </row>
    <row r="797" spans="1:13" x14ac:dyDescent="0.3">
      <c r="A797" t="s">
        <v>1717</v>
      </c>
      <c r="B797" t="s">
        <v>1718</v>
      </c>
      <c r="C797" t="s">
        <v>15</v>
      </c>
      <c r="D797" t="s">
        <v>1530</v>
      </c>
      <c r="E797">
        <v>2499</v>
      </c>
      <c r="F797">
        <v>549</v>
      </c>
      <c r="G797">
        <v>78</v>
      </c>
      <c r="H797">
        <v>1950</v>
      </c>
      <c r="I797" t="s">
        <v>64</v>
      </c>
      <c r="J797">
        <v>4.3</v>
      </c>
      <c r="K797">
        <v>5556</v>
      </c>
      <c r="L797">
        <v>0.33733333333333332</v>
      </c>
      <c r="M797" t="s">
        <v>18</v>
      </c>
    </row>
    <row r="798" spans="1:13" x14ac:dyDescent="0.3">
      <c r="A798" t="s">
        <v>1719</v>
      </c>
      <c r="B798" t="s">
        <v>1720</v>
      </c>
      <c r="C798" t="s">
        <v>15</v>
      </c>
      <c r="D798" t="s">
        <v>1171</v>
      </c>
      <c r="E798">
        <v>1645</v>
      </c>
      <c r="F798">
        <v>1295</v>
      </c>
      <c r="G798">
        <v>21</v>
      </c>
      <c r="H798">
        <v>350</v>
      </c>
      <c r="I798" t="s">
        <v>64</v>
      </c>
      <c r="J798">
        <v>4.5999999999999996</v>
      </c>
      <c r="K798">
        <v>12375</v>
      </c>
      <c r="L798">
        <v>0.27166225749559081</v>
      </c>
      <c r="M798" t="s">
        <v>18</v>
      </c>
    </row>
    <row r="799" spans="1:13" x14ac:dyDescent="0.3">
      <c r="A799" t="s">
        <v>1721</v>
      </c>
      <c r="B799" t="s">
        <v>1722</v>
      </c>
      <c r="C799" t="s">
        <v>1219</v>
      </c>
      <c r="D799" t="s">
        <v>1279</v>
      </c>
      <c r="E799">
        <v>310</v>
      </c>
      <c r="F799">
        <v>310</v>
      </c>
      <c r="G799">
        <v>0</v>
      </c>
      <c r="H799">
        <v>0</v>
      </c>
      <c r="I799" t="s">
        <v>17</v>
      </c>
      <c r="J799">
        <v>4.5</v>
      </c>
      <c r="K799">
        <v>5882</v>
      </c>
      <c r="L799">
        <v>0.51111111111111107</v>
      </c>
      <c r="M799" t="s">
        <v>18</v>
      </c>
    </row>
    <row r="800" spans="1:13" x14ac:dyDescent="0.3">
      <c r="A800" t="s">
        <v>1723</v>
      </c>
      <c r="B800" t="s">
        <v>1724</v>
      </c>
      <c r="C800" t="s">
        <v>15</v>
      </c>
      <c r="D800" t="s">
        <v>1227</v>
      </c>
      <c r="E800">
        <v>1499</v>
      </c>
      <c r="F800">
        <v>1149</v>
      </c>
      <c r="G800">
        <v>23</v>
      </c>
      <c r="H800">
        <v>350</v>
      </c>
      <c r="I800" t="s">
        <v>64</v>
      </c>
      <c r="J800">
        <v>4.0999999999999996</v>
      </c>
      <c r="K800">
        <v>10443</v>
      </c>
      <c r="L800">
        <v>0.17667293233082701</v>
      </c>
      <c r="M800" t="s">
        <v>18</v>
      </c>
    </row>
    <row r="801" spans="1:13" x14ac:dyDescent="0.3">
      <c r="A801" t="s">
        <v>1725</v>
      </c>
      <c r="B801" t="s">
        <v>1726</v>
      </c>
      <c r="C801" t="s">
        <v>15</v>
      </c>
      <c r="D801" t="s">
        <v>1179</v>
      </c>
      <c r="E801">
        <v>1299</v>
      </c>
      <c r="F801">
        <v>499</v>
      </c>
      <c r="G801">
        <v>62</v>
      </c>
      <c r="H801">
        <v>800</v>
      </c>
      <c r="I801" t="s">
        <v>17</v>
      </c>
      <c r="J801">
        <v>4.5</v>
      </c>
      <c r="K801">
        <v>434</v>
      </c>
      <c r="L801">
        <v>0.46527777777777779</v>
      </c>
      <c r="M801" t="s">
        <v>18</v>
      </c>
    </row>
    <row r="802" spans="1:13" x14ac:dyDescent="0.3">
      <c r="A802" t="s">
        <v>1727</v>
      </c>
      <c r="B802" t="s">
        <v>1728</v>
      </c>
      <c r="C802" t="s">
        <v>44</v>
      </c>
      <c r="D802" t="s">
        <v>737</v>
      </c>
      <c r="E802">
        <v>4199</v>
      </c>
      <c r="F802">
        <v>999</v>
      </c>
      <c r="G802">
        <v>76</v>
      </c>
      <c r="H802">
        <v>3200</v>
      </c>
      <c r="I802" t="s">
        <v>64</v>
      </c>
      <c r="J802">
        <v>3.5</v>
      </c>
      <c r="K802">
        <v>1913</v>
      </c>
      <c r="L802">
        <v>0.20125850340136051</v>
      </c>
      <c r="M802" t="s">
        <v>18</v>
      </c>
    </row>
    <row r="803" spans="1:13" x14ac:dyDescent="0.3">
      <c r="A803" t="s">
        <v>1729</v>
      </c>
      <c r="B803" t="s">
        <v>1730</v>
      </c>
      <c r="C803" t="s">
        <v>15</v>
      </c>
      <c r="D803" t="s">
        <v>1583</v>
      </c>
      <c r="E803">
        <v>4000</v>
      </c>
      <c r="F803">
        <v>1709</v>
      </c>
      <c r="G803">
        <v>57</v>
      </c>
      <c r="H803">
        <v>2291</v>
      </c>
      <c r="I803" t="s">
        <v>167</v>
      </c>
      <c r="J803">
        <v>4.4000000000000004</v>
      </c>
      <c r="K803">
        <v>3029</v>
      </c>
      <c r="L803">
        <v>0.25312499999999999</v>
      </c>
      <c r="M803" t="s">
        <v>18</v>
      </c>
    </row>
    <row r="804" spans="1:13" x14ac:dyDescent="0.3">
      <c r="A804" t="s">
        <v>1731</v>
      </c>
      <c r="B804" t="s">
        <v>1732</v>
      </c>
      <c r="C804" t="s">
        <v>1215</v>
      </c>
      <c r="D804" t="s">
        <v>1216</v>
      </c>
      <c r="E804">
        <v>250</v>
      </c>
      <c r="F804">
        <v>250</v>
      </c>
      <c r="G804">
        <v>0</v>
      </c>
      <c r="H804">
        <v>0</v>
      </c>
      <c r="I804" t="s">
        <v>17</v>
      </c>
      <c r="J804">
        <v>4.2</v>
      </c>
      <c r="K804">
        <v>2628</v>
      </c>
      <c r="L804">
        <v>0.35357142857142859</v>
      </c>
      <c r="M804" t="s">
        <v>18</v>
      </c>
    </row>
    <row r="805" spans="1:13" x14ac:dyDescent="0.3">
      <c r="A805" t="s">
        <v>1733</v>
      </c>
      <c r="B805" t="s">
        <v>1734</v>
      </c>
      <c r="C805" t="s">
        <v>1219</v>
      </c>
      <c r="D805" t="s">
        <v>1735</v>
      </c>
      <c r="E805">
        <v>100</v>
      </c>
      <c r="F805">
        <v>90</v>
      </c>
      <c r="G805">
        <v>10</v>
      </c>
      <c r="H805">
        <v>10</v>
      </c>
      <c r="I805" t="s">
        <v>17</v>
      </c>
      <c r="J805">
        <v>4.4000000000000004</v>
      </c>
      <c r="K805">
        <v>10718</v>
      </c>
      <c r="L805">
        <v>0.22126623376623369</v>
      </c>
      <c r="M805" t="s">
        <v>18</v>
      </c>
    </row>
    <row r="806" spans="1:13" x14ac:dyDescent="0.3">
      <c r="A806" t="s">
        <v>1736</v>
      </c>
      <c r="B806" t="s">
        <v>1737</v>
      </c>
      <c r="C806" t="s">
        <v>44</v>
      </c>
      <c r="D806" t="s">
        <v>941</v>
      </c>
      <c r="E806">
        <v>5999</v>
      </c>
      <c r="F806">
        <v>2025</v>
      </c>
      <c r="G806">
        <v>66</v>
      </c>
      <c r="H806">
        <v>3974</v>
      </c>
      <c r="I806" t="s">
        <v>167</v>
      </c>
      <c r="J806">
        <v>4.2</v>
      </c>
      <c r="K806">
        <v>6233</v>
      </c>
      <c r="L806">
        <v>0.15335978835978839</v>
      </c>
      <c r="M806" t="s">
        <v>18</v>
      </c>
    </row>
    <row r="807" spans="1:13" x14ac:dyDescent="0.3">
      <c r="A807" t="s">
        <v>1738</v>
      </c>
      <c r="B807" t="s">
        <v>1739</v>
      </c>
      <c r="C807" t="s">
        <v>15</v>
      </c>
      <c r="D807" t="s">
        <v>1276</v>
      </c>
      <c r="E807">
        <v>1995</v>
      </c>
      <c r="F807">
        <v>1495</v>
      </c>
      <c r="G807">
        <v>25</v>
      </c>
      <c r="H807">
        <v>500</v>
      </c>
      <c r="I807" t="s">
        <v>64</v>
      </c>
      <c r="J807">
        <v>4.5</v>
      </c>
      <c r="K807">
        <v>10541</v>
      </c>
      <c r="L807">
        <v>0.12918367346938769</v>
      </c>
      <c r="M807" t="s">
        <v>18</v>
      </c>
    </row>
    <row r="808" spans="1:13" x14ac:dyDescent="0.3">
      <c r="A808" t="s">
        <v>1740</v>
      </c>
      <c r="B808" t="s">
        <v>1741</v>
      </c>
      <c r="C808" t="s">
        <v>44</v>
      </c>
      <c r="D808" t="s">
        <v>1318</v>
      </c>
      <c r="E808">
        <v>1199</v>
      </c>
      <c r="F808">
        <v>899</v>
      </c>
      <c r="G808">
        <v>25</v>
      </c>
      <c r="H808">
        <v>300</v>
      </c>
      <c r="I808" t="s">
        <v>64</v>
      </c>
      <c r="J808">
        <v>3.8</v>
      </c>
      <c r="K808">
        <v>10751</v>
      </c>
      <c r="L808">
        <v>0.15674403183023869</v>
      </c>
      <c r="M808" t="s">
        <v>18</v>
      </c>
    </row>
    <row r="809" spans="1:13" x14ac:dyDescent="0.3">
      <c r="A809" t="s">
        <v>1742</v>
      </c>
      <c r="B809" t="s">
        <v>1743</v>
      </c>
      <c r="C809" t="s">
        <v>15</v>
      </c>
      <c r="D809" t="s">
        <v>1744</v>
      </c>
      <c r="E809">
        <v>999</v>
      </c>
      <c r="F809">
        <v>349</v>
      </c>
      <c r="G809">
        <v>65</v>
      </c>
      <c r="H809">
        <v>650</v>
      </c>
      <c r="I809" t="s">
        <v>17</v>
      </c>
      <c r="J809">
        <v>3.9</v>
      </c>
      <c r="K809">
        <v>817</v>
      </c>
      <c r="L809">
        <v>0.26290123456790121</v>
      </c>
      <c r="M809" t="s">
        <v>18</v>
      </c>
    </row>
    <row r="810" spans="1:13" x14ac:dyDescent="0.3">
      <c r="A810" t="s">
        <v>1745</v>
      </c>
      <c r="B810" t="s">
        <v>1746</v>
      </c>
      <c r="C810" t="s">
        <v>44</v>
      </c>
      <c r="D810" t="s">
        <v>713</v>
      </c>
      <c r="E810">
        <v>2499</v>
      </c>
      <c r="F810">
        <v>900</v>
      </c>
      <c r="G810">
        <v>64</v>
      </c>
      <c r="H810">
        <v>1599</v>
      </c>
      <c r="I810" t="s">
        <v>64</v>
      </c>
      <c r="J810">
        <v>4</v>
      </c>
      <c r="K810">
        <v>36384</v>
      </c>
      <c r="L810">
        <v>0.35285714285714281</v>
      </c>
      <c r="M810" t="s">
        <v>18</v>
      </c>
    </row>
    <row r="811" spans="1:13" x14ac:dyDescent="0.3">
      <c r="A811" t="s">
        <v>1747</v>
      </c>
      <c r="B811" t="s">
        <v>1748</v>
      </c>
      <c r="C811" t="s">
        <v>44</v>
      </c>
      <c r="D811" t="s">
        <v>1400</v>
      </c>
      <c r="E811">
        <v>3990</v>
      </c>
      <c r="F811">
        <v>2490</v>
      </c>
      <c r="G811">
        <v>38</v>
      </c>
      <c r="H811">
        <v>1500</v>
      </c>
      <c r="I811" t="s">
        <v>167</v>
      </c>
      <c r="J811">
        <v>4.0999999999999996</v>
      </c>
      <c r="K811">
        <v>3606</v>
      </c>
      <c r="L811">
        <v>0.34099248790425257</v>
      </c>
      <c r="M811" t="s">
        <v>18</v>
      </c>
    </row>
    <row r="812" spans="1:13" x14ac:dyDescent="0.3">
      <c r="A812" t="s">
        <v>1749</v>
      </c>
      <c r="B812" t="s">
        <v>1750</v>
      </c>
      <c r="C812" t="s">
        <v>44</v>
      </c>
      <c r="D812" t="s">
        <v>1321</v>
      </c>
      <c r="E812">
        <v>200</v>
      </c>
      <c r="F812">
        <v>116</v>
      </c>
      <c r="G812">
        <v>42</v>
      </c>
      <c r="H812">
        <v>84</v>
      </c>
      <c r="I812" t="s">
        <v>17</v>
      </c>
      <c r="J812">
        <v>4.4000000000000004</v>
      </c>
      <c r="K812">
        <v>357</v>
      </c>
      <c r="L812">
        <v>0.34991258741258741</v>
      </c>
      <c r="M812" t="s">
        <v>18</v>
      </c>
    </row>
    <row r="813" spans="1:13" x14ac:dyDescent="0.3">
      <c r="A813" t="s">
        <v>1751</v>
      </c>
      <c r="B813" t="s">
        <v>1752</v>
      </c>
      <c r="C813" t="s">
        <v>1219</v>
      </c>
      <c r="D813" t="s">
        <v>1279</v>
      </c>
      <c r="E813">
        <v>230</v>
      </c>
      <c r="F813">
        <v>200</v>
      </c>
      <c r="G813">
        <v>13</v>
      </c>
      <c r="H813">
        <v>30</v>
      </c>
      <c r="I813" t="s">
        <v>17</v>
      </c>
      <c r="J813">
        <v>4.4000000000000004</v>
      </c>
      <c r="K813">
        <v>10170</v>
      </c>
      <c r="L813">
        <v>0.48333333333333339</v>
      </c>
      <c r="M813" t="s">
        <v>18</v>
      </c>
    </row>
    <row r="814" spans="1:13" x14ac:dyDescent="0.3">
      <c r="A814" t="s">
        <v>1753</v>
      </c>
      <c r="B814" t="s">
        <v>1754</v>
      </c>
      <c r="C814" t="s">
        <v>15</v>
      </c>
      <c r="D814" t="s">
        <v>1620</v>
      </c>
      <c r="E814">
        <v>2796</v>
      </c>
      <c r="F814">
        <v>1249</v>
      </c>
      <c r="G814">
        <v>55</v>
      </c>
      <c r="H814">
        <v>1547</v>
      </c>
      <c r="I814" t="s">
        <v>64</v>
      </c>
      <c r="J814">
        <v>4.4000000000000004</v>
      </c>
      <c r="K814">
        <v>4598</v>
      </c>
      <c r="L814">
        <v>0.29199074074074072</v>
      </c>
      <c r="M814" t="s">
        <v>18</v>
      </c>
    </row>
    <row r="815" spans="1:13" x14ac:dyDescent="0.3">
      <c r="A815" t="s">
        <v>1755</v>
      </c>
      <c r="B815" t="s">
        <v>1756</v>
      </c>
      <c r="C815" t="s">
        <v>15</v>
      </c>
      <c r="D815" t="s">
        <v>1757</v>
      </c>
      <c r="E815">
        <v>999</v>
      </c>
      <c r="F815">
        <v>649</v>
      </c>
      <c r="G815">
        <v>35</v>
      </c>
      <c r="H815">
        <v>350</v>
      </c>
      <c r="I815" t="s">
        <v>64</v>
      </c>
      <c r="J815">
        <v>3.5</v>
      </c>
      <c r="K815">
        <v>7222</v>
      </c>
      <c r="L815">
        <v>0.16875000000000001</v>
      </c>
      <c r="M815" t="s">
        <v>18</v>
      </c>
    </row>
    <row r="816" spans="1:13" x14ac:dyDescent="0.3">
      <c r="A816" t="s">
        <v>1758</v>
      </c>
      <c r="B816" t="s">
        <v>1759</v>
      </c>
      <c r="C816" t="s">
        <v>15</v>
      </c>
      <c r="D816" t="s">
        <v>1760</v>
      </c>
      <c r="E816">
        <v>3499</v>
      </c>
      <c r="F816">
        <v>2649</v>
      </c>
      <c r="G816">
        <v>24</v>
      </c>
      <c r="H816">
        <v>850</v>
      </c>
      <c r="I816" t="s">
        <v>167</v>
      </c>
      <c r="J816">
        <v>4.5</v>
      </c>
      <c r="K816">
        <v>1271</v>
      </c>
      <c r="L816">
        <v>0.27769097222222222</v>
      </c>
      <c r="M816" t="s">
        <v>18</v>
      </c>
    </row>
    <row r="817" spans="1:13" x14ac:dyDescent="0.3">
      <c r="A817" t="s">
        <v>1761</v>
      </c>
      <c r="B817" t="s">
        <v>1762</v>
      </c>
      <c r="C817" t="s">
        <v>15</v>
      </c>
      <c r="D817" t="s">
        <v>1260</v>
      </c>
      <c r="E817">
        <v>723</v>
      </c>
      <c r="F817">
        <v>596</v>
      </c>
      <c r="G817">
        <v>18</v>
      </c>
      <c r="H817">
        <v>127</v>
      </c>
      <c r="I817" t="s">
        <v>64</v>
      </c>
      <c r="J817">
        <v>4.4000000000000004</v>
      </c>
      <c r="K817">
        <v>3219</v>
      </c>
      <c r="L817">
        <v>0.30837301587301591</v>
      </c>
      <c r="M817" t="s">
        <v>18</v>
      </c>
    </row>
    <row r="818" spans="1:13" x14ac:dyDescent="0.3">
      <c r="A818" t="s">
        <v>1763</v>
      </c>
      <c r="B818" t="s">
        <v>1764</v>
      </c>
      <c r="C818" t="s">
        <v>44</v>
      </c>
      <c r="D818" t="s">
        <v>706</v>
      </c>
      <c r="E818">
        <v>5999</v>
      </c>
      <c r="F818">
        <v>2499</v>
      </c>
      <c r="G818">
        <v>58</v>
      </c>
      <c r="H818">
        <v>3500</v>
      </c>
      <c r="I818" t="s">
        <v>167</v>
      </c>
      <c r="J818">
        <v>4.0999999999999996</v>
      </c>
      <c r="K818">
        <v>38879</v>
      </c>
      <c r="L818">
        <v>0.14164529914529911</v>
      </c>
      <c r="M818" t="s">
        <v>18</v>
      </c>
    </row>
    <row r="819" spans="1:13" x14ac:dyDescent="0.3">
      <c r="A819" t="s">
        <v>1765</v>
      </c>
      <c r="B819" t="s">
        <v>1766</v>
      </c>
      <c r="C819" t="s">
        <v>44</v>
      </c>
      <c r="D819" t="s">
        <v>1767</v>
      </c>
      <c r="E819">
        <v>12499</v>
      </c>
      <c r="F819">
        <v>4999</v>
      </c>
      <c r="G819">
        <v>60</v>
      </c>
      <c r="H819">
        <v>7500</v>
      </c>
      <c r="I819" t="s">
        <v>167</v>
      </c>
      <c r="J819">
        <v>4.2</v>
      </c>
      <c r="K819">
        <v>4541</v>
      </c>
      <c r="L819">
        <v>0.2824885408708937</v>
      </c>
      <c r="M819" t="s">
        <v>18</v>
      </c>
    </row>
    <row r="820" spans="1:13" x14ac:dyDescent="0.3">
      <c r="A820" t="s">
        <v>1768</v>
      </c>
      <c r="B820" t="s">
        <v>1769</v>
      </c>
      <c r="C820" t="s">
        <v>44</v>
      </c>
      <c r="D820" t="s">
        <v>737</v>
      </c>
      <c r="E820">
        <v>1290</v>
      </c>
      <c r="F820">
        <v>399</v>
      </c>
      <c r="G820">
        <v>69</v>
      </c>
      <c r="H820">
        <v>891</v>
      </c>
      <c r="I820" t="s">
        <v>17</v>
      </c>
      <c r="J820">
        <v>4.2</v>
      </c>
      <c r="K820">
        <v>76042</v>
      </c>
      <c r="L820">
        <v>0.23833333333333331</v>
      </c>
      <c r="M820" t="s">
        <v>18</v>
      </c>
    </row>
    <row r="821" spans="1:13" x14ac:dyDescent="0.3">
      <c r="A821" t="s">
        <v>1770</v>
      </c>
      <c r="B821" t="s">
        <v>1771</v>
      </c>
      <c r="C821" t="s">
        <v>44</v>
      </c>
      <c r="D821" t="s">
        <v>1321</v>
      </c>
      <c r="E821">
        <v>200</v>
      </c>
      <c r="F821">
        <v>116</v>
      </c>
      <c r="G821">
        <v>42</v>
      </c>
      <c r="H821">
        <v>84</v>
      </c>
      <c r="I821" t="s">
        <v>17</v>
      </c>
      <c r="J821">
        <v>4.3</v>
      </c>
      <c r="K821">
        <v>485</v>
      </c>
      <c r="L821">
        <v>0.14035714285714279</v>
      </c>
      <c r="M821" t="s">
        <v>18</v>
      </c>
    </row>
    <row r="822" spans="1:13" x14ac:dyDescent="0.3">
      <c r="A822" t="s">
        <v>1772</v>
      </c>
      <c r="B822" t="s">
        <v>1773</v>
      </c>
      <c r="C822" t="s">
        <v>44</v>
      </c>
      <c r="D822" t="s">
        <v>1400</v>
      </c>
      <c r="E822">
        <v>5999</v>
      </c>
      <c r="F822">
        <v>4499</v>
      </c>
      <c r="G822">
        <v>25</v>
      </c>
      <c r="H822">
        <v>1500</v>
      </c>
      <c r="I822" t="s">
        <v>167</v>
      </c>
      <c r="J822">
        <v>4.3</v>
      </c>
      <c r="K822">
        <v>44696</v>
      </c>
      <c r="L822">
        <v>0.2316666666666666</v>
      </c>
      <c r="M822" t="s">
        <v>18</v>
      </c>
    </row>
    <row r="823" spans="1:13" x14ac:dyDescent="0.3">
      <c r="A823" t="s">
        <v>1774</v>
      </c>
      <c r="B823" t="s">
        <v>1775</v>
      </c>
      <c r="C823" t="s">
        <v>15</v>
      </c>
      <c r="D823" t="s">
        <v>1441</v>
      </c>
      <c r="E823">
        <v>499</v>
      </c>
      <c r="F823">
        <v>330</v>
      </c>
      <c r="G823">
        <v>34</v>
      </c>
      <c r="H823">
        <v>169</v>
      </c>
      <c r="I823" t="s">
        <v>17</v>
      </c>
      <c r="J823">
        <v>3.7</v>
      </c>
      <c r="K823">
        <v>8566</v>
      </c>
      <c r="L823">
        <v>8.1666666666666596E-2</v>
      </c>
      <c r="M823" t="s">
        <v>103</v>
      </c>
    </row>
    <row r="824" spans="1:13" x14ac:dyDescent="0.3">
      <c r="A824" t="s">
        <v>1776</v>
      </c>
      <c r="B824" t="s">
        <v>1777</v>
      </c>
      <c r="C824" t="s">
        <v>44</v>
      </c>
      <c r="D824" t="s">
        <v>1305</v>
      </c>
      <c r="E824">
        <v>2499</v>
      </c>
      <c r="F824">
        <v>649</v>
      </c>
      <c r="G824">
        <v>74</v>
      </c>
      <c r="H824">
        <v>1850</v>
      </c>
      <c r="I824" t="s">
        <v>64</v>
      </c>
      <c r="J824">
        <v>3.9</v>
      </c>
      <c r="K824">
        <v>13049</v>
      </c>
      <c r="L824">
        <v>0.1902658186562296</v>
      </c>
      <c r="M824" t="s">
        <v>18</v>
      </c>
    </row>
    <row r="825" spans="1:13" x14ac:dyDescent="0.3">
      <c r="A825" t="s">
        <v>1778</v>
      </c>
      <c r="B825" t="s">
        <v>1779</v>
      </c>
      <c r="C825" t="s">
        <v>15</v>
      </c>
      <c r="D825" t="s">
        <v>918</v>
      </c>
      <c r="E825">
        <v>1599</v>
      </c>
      <c r="F825">
        <v>1234</v>
      </c>
      <c r="G825">
        <v>23</v>
      </c>
      <c r="H825">
        <v>365</v>
      </c>
      <c r="I825" t="s">
        <v>64</v>
      </c>
      <c r="J825">
        <v>4.5</v>
      </c>
      <c r="K825">
        <v>16680</v>
      </c>
      <c r="L825">
        <v>0.17166666666666661</v>
      </c>
      <c r="M825" t="s">
        <v>18</v>
      </c>
    </row>
    <row r="826" spans="1:13" x14ac:dyDescent="0.3">
      <c r="A826" t="s">
        <v>1780</v>
      </c>
      <c r="B826" t="s">
        <v>1781</v>
      </c>
      <c r="C826" t="s">
        <v>1215</v>
      </c>
      <c r="D826" t="s">
        <v>1657</v>
      </c>
      <c r="E826">
        <v>320</v>
      </c>
      <c r="F826">
        <v>272</v>
      </c>
      <c r="G826">
        <v>15</v>
      </c>
      <c r="H826">
        <v>48</v>
      </c>
      <c r="I826" t="s">
        <v>17</v>
      </c>
      <c r="J826">
        <v>4</v>
      </c>
      <c r="K826">
        <v>3686</v>
      </c>
      <c r="L826">
        <v>-5.5952380952380899E-2</v>
      </c>
      <c r="M826" t="s">
        <v>69</v>
      </c>
    </row>
    <row r="827" spans="1:13" x14ac:dyDescent="0.3">
      <c r="A827" t="s">
        <v>1782</v>
      </c>
      <c r="B827" t="s">
        <v>1783</v>
      </c>
      <c r="C827" t="s">
        <v>44</v>
      </c>
      <c r="D827" t="s">
        <v>1784</v>
      </c>
      <c r="E827">
        <v>999</v>
      </c>
      <c r="F827">
        <v>99</v>
      </c>
      <c r="G827">
        <v>90</v>
      </c>
      <c r="H827">
        <v>900</v>
      </c>
      <c r="I827" t="s">
        <v>17</v>
      </c>
      <c r="J827">
        <v>3.8</v>
      </c>
      <c r="K827">
        <v>594</v>
      </c>
      <c r="L827">
        <v>0.131171497584541</v>
      </c>
      <c r="M827" t="s">
        <v>18</v>
      </c>
    </row>
    <row r="828" spans="1:13" x14ac:dyDescent="0.3">
      <c r="A828" t="s">
        <v>1785</v>
      </c>
      <c r="B828" t="s">
        <v>1786</v>
      </c>
      <c r="C828" t="s">
        <v>15</v>
      </c>
      <c r="D828" t="s">
        <v>1787</v>
      </c>
      <c r="E828">
        <v>3875</v>
      </c>
      <c r="F828">
        <v>3498</v>
      </c>
      <c r="G828">
        <v>10</v>
      </c>
      <c r="H828">
        <v>377</v>
      </c>
      <c r="I828" t="s">
        <v>167</v>
      </c>
      <c r="J828">
        <v>3.4</v>
      </c>
      <c r="K828">
        <v>12185</v>
      </c>
      <c r="L828">
        <v>9.1358024691357995E-2</v>
      </c>
      <c r="M828" t="s">
        <v>103</v>
      </c>
    </row>
    <row r="829" spans="1:13" x14ac:dyDescent="0.3">
      <c r="A829" t="s">
        <v>1788</v>
      </c>
      <c r="B829" t="s">
        <v>1789</v>
      </c>
      <c r="C829" t="s">
        <v>15</v>
      </c>
      <c r="D829" t="s">
        <v>1381</v>
      </c>
      <c r="E829">
        <v>19110</v>
      </c>
      <c r="F829">
        <v>10099</v>
      </c>
      <c r="G829">
        <v>47</v>
      </c>
      <c r="H829">
        <v>9011</v>
      </c>
      <c r="I829" t="s">
        <v>55</v>
      </c>
      <c r="J829">
        <v>4.3</v>
      </c>
      <c r="K829">
        <v>2623</v>
      </c>
      <c r="L829">
        <v>6.9007263922518103E-2</v>
      </c>
      <c r="M829" t="s">
        <v>103</v>
      </c>
    </row>
    <row r="830" spans="1:13" x14ac:dyDescent="0.3">
      <c r="A830" t="s">
        <v>1790</v>
      </c>
      <c r="B830" t="s">
        <v>1791</v>
      </c>
      <c r="C830" t="s">
        <v>15</v>
      </c>
      <c r="D830" t="s">
        <v>1464</v>
      </c>
      <c r="E830">
        <v>999</v>
      </c>
      <c r="F830">
        <v>449</v>
      </c>
      <c r="G830">
        <v>55</v>
      </c>
      <c r="H830">
        <v>550</v>
      </c>
      <c r="I830" t="s">
        <v>17</v>
      </c>
      <c r="J830">
        <v>4.3</v>
      </c>
      <c r="K830">
        <v>9701</v>
      </c>
      <c r="L830">
        <v>0.228145032051282</v>
      </c>
      <c r="M830" t="s">
        <v>18</v>
      </c>
    </row>
    <row r="831" spans="1:13" x14ac:dyDescent="0.3">
      <c r="A831" t="s">
        <v>1792</v>
      </c>
      <c r="B831" t="s">
        <v>1793</v>
      </c>
      <c r="C831" t="s">
        <v>1794</v>
      </c>
      <c r="D831" t="s">
        <v>1795</v>
      </c>
      <c r="E831">
        <v>150</v>
      </c>
      <c r="F831">
        <v>150</v>
      </c>
      <c r="G831">
        <v>0</v>
      </c>
      <c r="H831">
        <v>0</v>
      </c>
      <c r="I831" t="s">
        <v>17</v>
      </c>
      <c r="J831">
        <v>4.3</v>
      </c>
      <c r="K831">
        <v>15867</v>
      </c>
      <c r="L831">
        <v>0.37196581196581202</v>
      </c>
      <c r="M831" t="s">
        <v>18</v>
      </c>
    </row>
    <row r="832" spans="1:13" x14ac:dyDescent="0.3">
      <c r="A832" t="s">
        <v>1796</v>
      </c>
      <c r="B832" t="s">
        <v>1797</v>
      </c>
      <c r="C832" t="s">
        <v>15</v>
      </c>
      <c r="D832" t="s">
        <v>1302</v>
      </c>
      <c r="E832">
        <v>2999</v>
      </c>
      <c r="F832">
        <v>1199</v>
      </c>
      <c r="G832">
        <v>60</v>
      </c>
      <c r="H832">
        <v>1800</v>
      </c>
      <c r="I832" t="s">
        <v>64</v>
      </c>
      <c r="J832">
        <v>4.0999999999999996</v>
      </c>
      <c r="K832">
        <v>10725</v>
      </c>
      <c r="L832">
        <v>0.17109440267334999</v>
      </c>
      <c r="M832" t="s">
        <v>18</v>
      </c>
    </row>
    <row r="833" spans="1:13" x14ac:dyDescent="0.3">
      <c r="A833" t="s">
        <v>1798</v>
      </c>
      <c r="B833" t="s">
        <v>1799</v>
      </c>
      <c r="C833" t="s">
        <v>15</v>
      </c>
      <c r="D833" t="s">
        <v>1285</v>
      </c>
      <c r="E833">
        <v>899</v>
      </c>
      <c r="F833">
        <v>397</v>
      </c>
      <c r="G833">
        <v>56</v>
      </c>
      <c r="H833">
        <v>502</v>
      </c>
      <c r="I833" t="s">
        <v>17</v>
      </c>
      <c r="J833">
        <v>4</v>
      </c>
      <c r="K833">
        <v>3025</v>
      </c>
      <c r="L833">
        <v>9.7601540616245996E-3</v>
      </c>
      <c r="M833" t="s">
        <v>103</v>
      </c>
    </row>
    <row r="834" spans="1:13" x14ac:dyDescent="0.3">
      <c r="A834" t="s">
        <v>1800</v>
      </c>
      <c r="B834" t="s">
        <v>1801</v>
      </c>
      <c r="C834" t="s">
        <v>15</v>
      </c>
      <c r="D834" t="s">
        <v>1421</v>
      </c>
      <c r="E834">
        <v>1490</v>
      </c>
      <c r="F834">
        <v>699</v>
      </c>
      <c r="G834">
        <v>53</v>
      </c>
      <c r="H834">
        <v>791</v>
      </c>
      <c r="I834" t="s">
        <v>64</v>
      </c>
      <c r="J834">
        <v>4</v>
      </c>
      <c r="K834">
        <v>5736</v>
      </c>
      <c r="L834">
        <v>0.14850045787545779</v>
      </c>
      <c r="M834" t="s">
        <v>18</v>
      </c>
    </row>
    <row r="835" spans="1:13" x14ac:dyDescent="0.3">
      <c r="A835" t="s">
        <v>1802</v>
      </c>
      <c r="B835" t="s">
        <v>1803</v>
      </c>
      <c r="C835" t="s">
        <v>44</v>
      </c>
      <c r="D835" t="s">
        <v>737</v>
      </c>
      <c r="E835">
        <v>1999</v>
      </c>
      <c r="F835">
        <v>1679</v>
      </c>
      <c r="G835">
        <v>16</v>
      </c>
      <c r="H835">
        <v>320</v>
      </c>
      <c r="I835" t="s">
        <v>167</v>
      </c>
      <c r="J835">
        <v>4.0999999999999996</v>
      </c>
      <c r="K835">
        <v>72563</v>
      </c>
      <c r="L835">
        <v>0.19788118179563499</v>
      </c>
      <c r="M835" t="s">
        <v>18</v>
      </c>
    </row>
    <row r="836" spans="1:13" x14ac:dyDescent="0.3">
      <c r="A836" t="s">
        <v>1804</v>
      </c>
      <c r="B836" t="s">
        <v>1805</v>
      </c>
      <c r="C836" t="s">
        <v>15</v>
      </c>
      <c r="D836" t="s">
        <v>1174</v>
      </c>
      <c r="E836">
        <v>1500</v>
      </c>
      <c r="F836">
        <v>354</v>
      </c>
      <c r="G836">
        <v>76</v>
      </c>
      <c r="H836">
        <v>1146</v>
      </c>
      <c r="I836" t="s">
        <v>17</v>
      </c>
      <c r="J836">
        <v>4</v>
      </c>
      <c r="K836">
        <v>1026</v>
      </c>
      <c r="L836">
        <v>0.43761904761904757</v>
      </c>
      <c r="M836" t="s">
        <v>18</v>
      </c>
    </row>
    <row r="837" spans="1:13" x14ac:dyDescent="0.3">
      <c r="A837" t="s">
        <v>1806</v>
      </c>
      <c r="B837" t="s">
        <v>1807</v>
      </c>
      <c r="C837" t="s">
        <v>15</v>
      </c>
      <c r="D837" t="s">
        <v>1808</v>
      </c>
      <c r="E837">
        <v>5499</v>
      </c>
      <c r="F837">
        <v>1199</v>
      </c>
      <c r="G837">
        <v>78</v>
      </c>
      <c r="H837">
        <v>4300</v>
      </c>
      <c r="I837" t="s">
        <v>64</v>
      </c>
      <c r="J837">
        <v>3.8</v>
      </c>
      <c r="K837">
        <v>2043</v>
      </c>
      <c r="L837">
        <v>0.42081597222222211</v>
      </c>
      <c r="M837" t="s">
        <v>18</v>
      </c>
    </row>
    <row r="838" spans="1:13" x14ac:dyDescent="0.3">
      <c r="A838" t="s">
        <v>1809</v>
      </c>
      <c r="B838" t="s">
        <v>1810</v>
      </c>
      <c r="C838" t="s">
        <v>15</v>
      </c>
      <c r="D838" t="s">
        <v>918</v>
      </c>
      <c r="E838">
        <v>1499</v>
      </c>
      <c r="F838">
        <v>379</v>
      </c>
      <c r="G838">
        <v>75</v>
      </c>
      <c r="H838">
        <v>1120</v>
      </c>
      <c r="I838" t="s">
        <v>17</v>
      </c>
      <c r="J838">
        <v>4.2</v>
      </c>
      <c r="K838">
        <v>4149</v>
      </c>
      <c r="L838">
        <v>0.2369928728070175</v>
      </c>
      <c r="M838" t="s">
        <v>18</v>
      </c>
    </row>
    <row r="839" spans="1:13" x14ac:dyDescent="0.3">
      <c r="A839" t="s">
        <v>1811</v>
      </c>
      <c r="B839" t="s">
        <v>1812</v>
      </c>
      <c r="C839" t="s">
        <v>15</v>
      </c>
      <c r="D839" t="s">
        <v>1230</v>
      </c>
      <c r="E839">
        <v>775</v>
      </c>
      <c r="F839">
        <v>499</v>
      </c>
      <c r="G839">
        <v>36</v>
      </c>
      <c r="H839">
        <v>276</v>
      </c>
      <c r="I839" t="s">
        <v>17</v>
      </c>
      <c r="J839">
        <v>4.3</v>
      </c>
      <c r="K839">
        <v>74</v>
      </c>
      <c r="L839">
        <v>0.68888888888888877</v>
      </c>
      <c r="M839" t="s">
        <v>18</v>
      </c>
    </row>
    <row r="840" spans="1:13" x14ac:dyDescent="0.3">
      <c r="A840" t="s">
        <v>1813</v>
      </c>
      <c r="B840" t="s">
        <v>1814</v>
      </c>
      <c r="C840" t="s">
        <v>15</v>
      </c>
      <c r="D840" t="s">
        <v>1815</v>
      </c>
      <c r="E840">
        <v>32000</v>
      </c>
      <c r="F840">
        <v>10389</v>
      </c>
      <c r="G840">
        <v>68</v>
      </c>
      <c r="H840">
        <v>21611</v>
      </c>
      <c r="I840" t="s">
        <v>55</v>
      </c>
      <c r="J840">
        <v>4.4000000000000004</v>
      </c>
      <c r="K840">
        <v>41398</v>
      </c>
      <c r="L840">
        <v>0.11555555555555549</v>
      </c>
      <c r="M840" t="s">
        <v>18</v>
      </c>
    </row>
    <row r="841" spans="1:13" x14ac:dyDescent="0.3">
      <c r="A841" t="s">
        <v>1816</v>
      </c>
      <c r="B841" t="s">
        <v>1817</v>
      </c>
      <c r="C841" t="s">
        <v>15</v>
      </c>
      <c r="D841" t="s">
        <v>1643</v>
      </c>
      <c r="E841">
        <v>1300</v>
      </c>
      <c r="F841">
        <v>649</v>
      </c>
      <c r="G841">
        <v>50</v>
      </c>
      <c r="H841">
        <v>651</v>
      </c>
      <c r="I841" t="s">
        <v>64</v>
      </c>
      <c r="J841">
        <v>4.0999999999999996</v>
      </c>
      <c r="K841">
        <v>5195</v>
      </c>
      <c r="L841">
        <v>0.3208333333333333</v>
      </c>
      <c r="M841" t="s">
        <v>18</v>
      </c>
    </row>
    <row r="842" spans="1:13" x14ac:dyDescent="0.3">
      <c r="A842" t="s">
        <v>1818</v>
      </c>
      <c r="B842" t="s">
        <v>1819</v>
      </c>
      <c r="C842" t="s">
        <v>15</v>
      </c>
      <c r="D842" t="s">
        <v>1820</v>
      </c>
      <c r="E842">
        <v>1999</v>
      </c>
      <c r="F842">
        <v>1199</v>
      </c>
      <c r="G842">
        <v>40</v>
      </c>
      <c r="H842">
        <v>800</v>
      </c>
      <c r="I842" t="s">
        <v>64</v>
      </c>
      <c r="J842">
        <v>4.5</v>
      </c>
      <c r="K842">
        <v>22420</v>
      </c>
      <c r="L842">
        <v>0.24861111111111109</v>
      </c>
      <c r="M842" t="s">
        <v>18</v>
      </c>
    </row>
    <row r="843" spans="1:13" x14ac:dyDescent="0.3">
      <c r="A843" t="s">
        <v>1821</v>
      </c>
      <c r="B843" t="s">
        <v>1822</v>
      </c>
      <c r="C843" t="s">
        <v>44</v>
      </c>
      <c r="D843" t="s">
        <v>737</v>
      </c>
      <c r="E843">
        <v>1999</v>
      </c>
      <c r="F843">
        <v>889</v>
      </c>
      <c r="G843">
        <v>56</v>
      </c>
      <c r="H843">
        <v>1110</v>
      </c>
      <c r="I843" t="s">
        <v>64</v>
      </c>
      <c r="J843">
        <v>4.2</v>
      </c>
      <c r="K843">
        <v>2284</v>
      </c>
      <c r="L843">
        <v>0.19933333333333331</v>
      </c>
      <c r="M843" t="s">
        <v>18</v>
      </c>
    </row>
    <row r="844" spans="1:13" x14ac:dyDescent="0.3">
      <c r="A844" t="s">
        <v>1823</v>
      </c>
      <c r="B844" t="s">
        <v>1824</v>
      </c>
      <c r="C844" t="s">
        <v>15</v>
      </c>
      <c r="D844" t="s">
        <v>1227</v>
      </c>
      <c r="E844">
        <v>2199</v>
      </c>
      <c r="F844">
        <v>1409</v>
      </c>
      <c r="G844">
        <v>36</v>
      </c>
      <c r="H844">
        <v>790</v>
      </c>
      <c r="I844" t="s">
        <v>64</v>
      </c>
      <c r="J844">
        <v>3.9</v>
      </c>
      <c r="K844">
        <v>427</v>
      </c>
      <c r="L844">
        <v>0.22342985842985841</v>
      </c>
      <c r="M844" t="s">
        <v>18</v>
      </c>
    </row>
    <row r="845" spans="1:13" x14ac:dyDescent="0.3">
      <c r="A845" t="s">
        <v>1825</v>
      </c>
      <c r="B845" t="s">
        <v>1826</v>
      </c>
      <c r="C845" t="s">
        <v>15</v>
      </c>
      <c r="D845" t="s">
        <v>1827</v>
      </c>
      <c r="E845">
        <v>1999</v>
      </c>
      <c r="F845">
        <v>549</v>
      </c>
      <c r="G845">
        <v>73</v>
      </c>
      <c r="H845">
        <v>1450</v>
      </c>
      <c r="I845" t="s">
        <v>64</v>
      </c>
      <c r="J845">
        <v>4.3</v>
      </c>
      <c r="K845">
        <v>1367</v>
      </c>
      <c r="L845">
        <v>0.43148148148148152</v>
      </c>
      <c r="M845" t="s">
        <v>18</v>
      </c>
    </row>
    <row r="846" spans="1:13" x14ac:dyDescent="0.3">
      <c r="A846" t="s">
        <v>1828</v>
      </c>
      <c r="B846" t="s">
        <v>1829</v>
      </c>
      <c r="C846" t="s">
        <v>15</v>
      </c>
      <c r="D846" t="s">
        <v>1808</v>
      </c>
      <c r="E846">
        <v>1799</v>
      </c>
      <c r="F846">
        <v>749</v>
      </c>
      <c r="G846">
        <v>58</v>
      </c>
      <c r="H846">
        <v>1050</v>
      </c>
      <c r="I846" t="s">
        <v>64</v>
      </c>
      <c r="J846">
        <v>4</v>
      </c>
      <c r="K846">
        <v>13199</v>
      </c>
      <c r="L846">
        <v>0.2422423409923409</v>
      </c>
      <c r="M846" t="s">
        <v>18</v>
      </c>
    </row>
    <row r="847" spans="1:13" x14ac:dyDescent="0.3">
      <c r="A847" t="s">
        <v>1830</v>
      </c>
      <c r="B847" t="s">
        <v>1831</v>
      </c>
      <c r="C847" t="s">
        <v>15</v>
      </c>
      <c r="D847" t="s">
        <v>16</v>
      </c>
      <c r="E847">
        <v>1099</v>
      </c>
      <c r="F847">
        <v>379</v>
      </c>
      <c r="G847">
        <v>66</v>
      </c>
      <c r="H847">
        <v>720</v>
      </c>
      <c r="I847" t="s">
        <v>17</v>
      </c>
      <c r="J847">
        <v>4.3</v>
      </c>
      <c r="K847">
        <v>2806</v>
      </c>
      <c r="L847">
        <v>0.37114425505050502</v>
      </c>
      <c r="M847" t="s">
        <v>18</v>
      </c>
    </row>
    <row r="848" spans="1:13" x14ac:dyDescent="0.3">
      <c r="A848" t="s">
        <v>1832</v>
      </c>
      <c r="B848" t="s">
        <v>1833</v>
      </c>
      <c r="C848" t="s">
        <v>44</v>
      </c>
      <c r="D848" t="s">
        <v>706</v>
      </c>
      <c r="E848">
        <v>7999</v>
      </c>
      <c r="F848">
        <v>5998</v>
      </c>
      <c r="G848">
        <v>25</v>
      </c>
      <c r="H848">
        <v>2001</v>
      </c>
      <c r="I848" t="s">
        <v>55</v>
      </c>
      <c r="J848">
        <v>4.2</v>
      </c>
      <c r="K848">
        <v>30355</v>
      </c>
      <c r="L848">
        <v>0.1673681334846383</v>
      </c>
      <c r="M848" t="s">
        <v>18</v>
      </c>
    </row>
    <row r="849" spans="1:13" x14ac:dyDescent="0.3">
      <c r="A849" t="s">
        <v>1834</v>
      </c>
      <c r="B849" t="s">
        <v>1835</v>
      </c>
      <c r="C849" t="s">
        <v>15</v>
      </c>
      <c r="D849" t="s">
        <v>1464</v>
      </c>
      <c r="E849">
        <v>1499</v>
      </c>
      <c r="F849">
        <v>299</v>
      </c>
      <c r="G849">
        <v>80</v>
      </c>
      <c r="H849">
        <v>1200</v>
      </c>
      <c r="I849" t="s">
        <v>17</v>
      </c>
      <c r="J849">
        <v>4.2</v>
      </c>
      <c r="K849">
        <v>2868</v>
      </c>
      <c r="L849">
        <v>0.2963425925925926</v>
      </c>
      <c r="M849" t="s">
        <v>18</v>
      </c>
    </row>
    <row r="850" spans="1:13" x14ac:dyDescent="0.3">
      <c r="A850" t="s">
        <v>1836</v>
      </c>
      <c r="B850" t="s">
        <v>1837</v>
      </c>
      <c r="C850" t="s">
        <v>15</v>
      </c>
      <c r="D850" t="s">
        <v>918</v>
      </c>
      <c r="E850">
        <v>1499</v>
      </c>
      <c r="F850">
        <v>379</v>
      </c>
      <c r="G850">
        <v>75</v>
      </c>
      <c r="H850">
        <v>1120</v>
      </c>
      <c r="I850" t="s">
        <v>17</v>
      </c>
      <c r="J850">
        <v>4.0999999999999996</v>
      </c>
      <c r="K850">
        <v>670</v>
      </c>
      <c r="L850">
        <v>1.8181818181818101E-2</v>
      </c>
      <c r="M850" t="s">
        <v>103</v>
      </c>
    </row>
    <row r="851" spans="1:13" x14ac:dyDescent="0.3">
      <c r="A851" t="s">
        <v>1838</v>
      </c>
      <c r="B851" t="s">
        <v>1839</v>
      </c>
      <c r="C851" t="s">
        <v>1215</v>
      </c>
      <c r="D851" t="s">
        <v>1840</v>
      </c>
      <c r="E851">
        <v>2999</v>
      </c>
      <c r="F851">
        <v>1399</v>
      </c>
      <c r="G851">
        <v>53</v>
      </c>
      <c r="H851">
        <v>1600</v>
      </c>
      <c r="I851" t="s">
        <v>64</v>
      </c>
      <c r="J851">
        <v>4.3</v>
      </c>
      <c r="K851">
        <v>3530</v>
      </c>
      <c r="L851">
        <v>0.29591397849462359</v>
      </c>
      <c r="M851" t="s">
        <v>18</v>
      </c>
    </row>
    <row r="852" spans="1:13" x14ac:dyDescent="0.3">
      <c r="A852" t="s">
        <v>1841</v>
      </c>
      <c r="B852" t="s">
        <v>1842</v>
      </c>
      <c r="C852" t="s">
        <v>44</v>
      </c>
      <c r="D852" t="s">
        <v>1843</v>
      </c>
      <c r="E852">
        <v>1299</v>
      </c>
      <c r="F852">
        <v>699</v>
      </c>
      <c r="G852">
        <v>46</v>
      </c>
      <c r="H852">
        <v>600</v>
      </c>
      <c r="I852" t="s">
        <v>64</v>
      </c>
      <c r="J852">
        <v>4.3</v>
      </c>
      <c r="K852">
        <v>6183</v>
      </c>
      <c r="L852">
        <v>0.4433333333333333</v>
      </c>
      <c r="M852" t="s">
        <v>18</v>
      </c>
    </row>
    <row r="853" spans="1:13" x14ac:dyDescent="0.3">
      <c r="A853" t="s">
        <v>1844</v>
      </c>
      <c r="B853" t="s">
        <v>1845</v>
      </c>
      <c r="C853" t="s">
        <v>1215</v>
      </c>
      <c r="D853" t="s">
        <v>1481</v>
      </c>
      <c r="E853">
        <v>300</v>
      </c>
      <c r="F853">
        <v>300</v>
      </c>
      <c r="G853">
        <v>0</v>
      </c>
      <c r="H853">
        <v>0</v>
      </c>
      <c r="I853" t="s">
        <v>17</v>
      </c>
      <c r="J853">
        <v>4.2</v>
      </c>
      <c r="K853">
        <v>419</v>
      </c>
      <c r="L853">
        <v>0</v>
      </c>
      <c r="M853" t="s">
        <v>103</v>
      </c>
    </row>
    <row r="854" spans="1:13" x14ac:dyDescent="0.3">
      <c r="A854" t="s">
        <v>1846</v>
      </c>
      <c r="B854" t="s">
        <v>1847</v>
      </c>
      <c r="C854" t="s">
        <v>15</v>
      </c>
      <c r="D854" t="s">
        <v>1282</v>
      </c>
      <c r="E854">
        <v>1995</v>
      </c>
      <c r="F854">
        <v>999</v>
      </c>
      <c r="G854">
        <v>50</v>
      </c>
      <c r="H854">
        <v>996</v>
      </c>
      <c r="I854" t="s">
        <v>64</v>
      </c>
      <c r="J854">
        <v>4.5</v>
      </c>
      <c r="K854">
        <v>7317</v>
      </c>
      <c r="L854">
        <v>0.292825</v>
      </c>
      <c r="M854" t="s">
        <v>18</v>
      </c>
    </row>
    <row r="855" spans="1:13" x14ac:dyDescent="0.3">
      <c r="A855" t="s">
        <v>1848</v>
      </c>
      <c r="B855" t="s">
        <v>1849</v>
      </c>
      <c r="C855" t="s">
        <v>1215</v>
      </c>
      <c r="D855" t="s">
        <v>1850</v>
      </c>
      <c r="E855">
        <v>535</v>
      </c>
      <c r="F855">
        <v>535</v>
      </c>
      <c r="G855">
        <v>0</v>
      </c>
      <c r="H855">
        <v>0</v>
      </c>
      <c r="I855" t="s">
        <v>64</v>
      </c>
      <c r="J855">
        <v>4.4000000000000004</v>
      </c>
      <c r="K855">
        <v>4426</v>
      </c>
      <c r="L855">
        <v>0.1875</v>
      </c>
      <c r="M855" t="s">
        <v>18</v>
      </c>
    </row>
    <row r="856" spans="1:13" x14ac:dyDescent="0.3">
      <c r="A856" t="s">
        <v>1851</v>
      </c>
      <c r="B856" t="s">
        <v>1852</v>
      </c>
      <c r="C856" t="s">
        <v>15</v>
      </c>
      <c r="D856" t="s">
        <v>1464</v>
      </c>
      <c r="E856">
        <v>1099</v>
      </c>
      <c r="F856">
        <v>269</v>
      </c>
      <c r="G856">
        <v>76</v>
      </c>
      <c r="H856">
        <v>830</v>
      </c>
      <c r="I856" t="s">
        <v>17</v>
      </c>
      <c r="J856">
        <v>4.0999999999999996</v>
      </c>
      <c r="K856">
        <v>1092</v>
      </c>
      <c r="L856">
        <v>0.47368421052631571</v>
      </c>
      <c r="M856" t="s">
        <v>18</v>
      </c>
    </row>
    <row r="857" spans="1:13" x14ac:dyDescent="0.3">
      <c r="A857" t="s">
        <v>1853</v>
      </c>
      <c r="B857" t="s">
        <v>1854</v>
      </c>
      <c r="C857" t="s">
        <v>1215</v>
      </c>
      <c r="D857" t="s">
        <v>1657</v>
      </c>
      <c r="E857">
        <v>450</v>
      </c>
      <c r="F857">
        <v>341</v>
      </c>
      <c r="G857">
        <v>24</v>
      </c>
      <c r="H857">
        <v>109</v>
      </c>
      <c r="I857" t="s">
        <v>17</v>
      </c>
      <c r="J857">
        <v>4.3</v>
      </c>
      <c r="K857">
        <v>2493</v>
      </c>
      <c r="L857">
        <v>0.39659090909090911</v>
      </c>
      <c r="M857" t="s">
        <v>18</v>
      </c>
    </row>
    <row r="858" spans="1:13" x14ac:dyDescent="0.3">
      <c r="A858" t="s">
        <v>1855</v>
      </c>
      <c r="B858" t="s">
        <v>1856</v>
      </c>
      <c r="C858" t="s">
        <v>15</v>
      </c>
      <c r="D858" t="s">
        <v>1302</v>
      </c>
      <c r="E858">
        <v>3999</v>
      </c>
      <c r="F858">
        <v>2499</v>
      </c>
      <c r="G858">
        <v>38</v>
      </c>
      <c r="H858">
        <v>1500</v>
      </c>
      <c r="I858" t="s">
        <v>167</v>
      </c>
      <c r="J858">
        <v>4.4000000000000004</v>
      </c>
      <c r="K858">
        <v>12679</v>
      </c>
      <c r="L858">
        <v>0.1860232426303855</v>
      </c>
      <c r="M858" t="s">
        <v>18</v>
      </c>
    </row>
    <row r="859" spans="1:13" x14ac:dyDescent="0.3">
      <c r="A859" t="s">
        <v>1857</v>
      </c>
      <c r="B859" t="s">
        <v>1858</v>
      </c>
      <c r="C859" t="s">
        <v>15</v>
      </c>
      <c r="D859" t="s">
        <v>1698</v>
      </c>
      <c r="E859">
        <v>7005</v>
      </c>
      <c r="F859">
        <v>5899</v>
      </c>
      <c r="G859">
        <v>16</v>
      </c>
      <c r="H859">
        <v>1106</v>
      </c>
      <c r="I859" t="s">
        <v>55</v>
      </c>
      <c r="J859">
        <v>3.6</v>
      </c>
      <c r="K859">
        <v>4199</v>
      </c>
      <c r="L859">
        <v>0.1429773257045984</v>
      </c>
      <c r="M859" t="s">
        <v>18</v>
      </c>
    </row>
    <row r="860" spans="1:13" x14ac:dyDescent="0.3">
      <c r="A860" t="s">
        <v>1859</v>
      </c>
      <c r="B860" t="s">
        <v>1860</v>
      </c>
      <c r="C860" t="s">
        <v>15</v>
      </c>
      <c r="D860" t="s">
        <v>1302</v>
      </c>
      <c r="E860">
        <v>2999</v>
      </c>
      <c r="F860">
        <v>1565</v>
      </c>
      <c r="G860">
        <v>48</v>
      </c>
      <c r="H860">
        <v>1434</v>
      </c>
      <c r="I860" t="s">
        <v>167</v>
      </c>
      <c r="J860">
        <v>4</v>
      </c>
      <c r="K860">
        <v>11113</v>
      </c>
      <c r="L860">
        <v>0.24861111111111109</v>
      </c>
      <c r="M860" t="s">
        <v>18</v>
      </c>
    </row>
    <row r="861" spans="1:13" x14ac:dyDescent="0.3">
      <c r="A861" t="s">
        <v>1861</v>
      </c>
      <c r="B861" t="s">
        <v>1862</v>
      </c>
      <c r="C861" t="s">
        <v>44</v>
      </c>
      <c r="D861" t="s">
        <v>1240</v>
      </c>
      <c r="E861">
        <v>799</v>
      </c>
      <c r="F861">
        <v>326</v>
      </c>
      <c r="G861">
        <v>59</v>
      </c>
      <c r="H861">
        <v>473</v>
      </c>
      <c r="I861" t="s">
        <v>17</v>
      </c>
      <c r="J861">
        <v>4.4000000000000004</v>
      </c>
      <c r="K861">
        <v>10773</v>
      </c>
      <c r="L861">
        <v>0.2473701298701298</v>
      </c>
      <c r="M861" t="s">
        <v>18</v>
      </c>
    </row>
    <row r="862" spans="1:13" x14ac:dyDescent="0.3">
      <c r="A862" t="s">
        <v>1863</v>
      </c>
      <c r="B862" t="s">
        <v>1864</v>
      </c>
      <c r="C862" t="s">
        <v>15</v>
      </c>
      <c r="D862" t="s">
        <v>1230</v>
      </c>
      <c r="E862">
        <v>999</v>
      </c>
      <c r="F862">
        <v>657</v>
      </c>
      <c r="G862">
        <v>34</v>
      </c>
      <c r="H862">
        <v>342</v>
      </c>
      <c r="I862" t="s">
        <v>64</v>
      </c>
      <c r="J862">
        <v>4.3</v>
      </c>
      <c r="K862">
        <v>13944</v>
      </c>
      <c r="L862">
        <v>0.23198412698412699</v>
      </c>
      <c r="M862" t="s">
        <v>18</v>
      </c>
    </row>
    <row r="863" spans="1:13" x14ac:dyDescent="0.3">
      <c r="A863" t="s">
        <v>1865</v>
      </c>
      <c r="B863" t="s">
        <v>1866</v>
      </c>
      <c r="C863" t="s">
        <v>15</v>
      </c>
      <c r="D863" t="s">
        <v>1276</v>
      </c>
      <c r="E863">
        <v>2895</v>
      </c>
      <c r="F863">
        <v>1995</v>
      </c>
      <c r="G863">
        <v>31</v>
      </c>
      <c r="H863">
        <v>900</v>
      </c>
      <c r="I863" t="s">
        <v>167</v>
      </c>
      <c r="J863">
        <v>4.5999999999999996</v>
      </c>
      <c r="K863">
        <v>10760</v>
      </c>
      <c r="L863">
        <v>0.1699277574277574</v>
      </c>
      <c r="M863" t="s">
        <v>18</v>
      </c>
    </row>
    <row r="864" spans="1:13" x14ac:dyDescent="0.3">
      <c r="A864" t="s">
        <v>1867</v>
      </c>
      <c r="B864" t="s">
        <v>1868</v>
      </c>
      <c r="C864" t="s">
        <v>44</v>
      </c>
      <c r="D864" t="s">
        <v>1321</v>
      </c>
      <c r="E864">
        <v>1500</v>
      </c>
      <c r="F864">
        <v>1500</v>
      </c>
      <c r="G864">
        <v>0</v>
      </c>
      <c r="H864">
        <v>0</v>
      </c>
      <c r="I864" t="s">
        <v>64</v>
      </c>
      <c r="J864">
        <v>4.4000000000000004</v>
      </c>
      <c r="K864">
        <v>25996</v>
      </c>
      <c r="L864">
        <v>0.1717105263157894</v>
      </c>
      <c r="M864" t="s">
        <v>18</v>
      </c>
    </row>
    <row r="865" spans="1:13" x14ac:dyDescent="0.3">
      <c r="A865" t="s">
        <v>1869</v>
      </c>
      <c r="B865" t="s">
        <v>1870</v>
      </c>
      <c r="C865" t="s">
        <v>15</v>
      </c>
      <c r="D865" t="s">
        <v>1203</v>
      </c>
      <c r="E865">
        <v>3195</v>
      </c>
      <c r="F865">
        <v>2640</v>
      </c>
      <c r="G865">
        <v>17</v>
      </c>
      <c r="H865">
        <v>555</v>
      </c>
      <c r="I865" t="s">
        <v>167</v>
      </c>
      <c r="J865">
        <v>4.5</v>
      </c>
      <c r="K865">
        <v>16146</v>
      </c>
      <c r="L865">
        <v>0.17504212454212451</v>
      </c>
      <c r="M865" t="s">
        <v>18</v>
      </c>
    </row>
    <row r="866" spans="1:13" x14ac:dyDescent="0.3">
      <c r="A866" t="s">
        <v>1871</v>
      </c>
      <c r="B866" t="s">
        <v>1872</v>
      </c>
      <c r="C866" t="s">
        <v>15</v>
      </c>
      <c r="D866" t="s">
        <v>1698</v>
      </c>
      <c r="E866">
        <v>6355</v>
      </c>
      <c r="F866">
        <v>5299</v>
      </c>
      <c r="G866">
        <v>17</v>
      </c>
      <c r="H866">
        <v>1056</v>
      </c>
      <c r="I866" t="s">
        <v>55</v>
      </c>
      <c r="J866">
        <v>3.9</v>
      </c>
      <c r="K866">
        <v>8280</v>
      </c>
      <c r="L866">
        <v>0.16156105990783409</v>
      </c>
      <c r="M866" t="s">
        <v>18</v>
      </c>
    </row>
    <row r="867" spans="1:13" x14ac:dyDescent="0.3">
      <c r="A867" t="s">
        <v>1873</v>
      </c>
      <c r="B867" t="s">
        <v>1874</v>
      </c>
      <c r="C867" t="s">
        <v>15</v>
      </c>
      <c r="D867" t="s">
        <v>1808</v>
      </c>
      <c r="E867">
        <v>2999</v>
      </c>
      <c r="F867">
        <v>1990</v>
      </c>
      <c r="G867">
        <v>34</v>
      </c>
      <c r="H867">
        <v>1009</v>
      </c>
      <c r="I867" t="s">
        <v>167</v>
      </c>
      <c r="J867">
        <v>4.3</v>
      </c>
      <c r="K867">
        <v>14237</v>
      </c>
      <c r="L867">
        <v>0.18796364714468161</v>
      </c>
      <c r="M867" t="s">
        <v>18</v>
      </c>
    </row>
    <row r="868" spans="1:13" x14ac:dyDescent="0.3">
      <c r="A868" t="s">
        <v>1875</v>
      </c>
      <c r="B868" t="s">
        <v>1876</v>
      </c>
      <c r="C868" t="s">
        <v>44</v>
      </c>
      <c r="D868" t="s">
        <v>1877</v>
      </c>
      <c r="E868">
        <v>1499</v>
      </c>
      <c r="F868">
        <v>1289</v>
      </c>
      <c r="G868">
        <v>14</v>
      </c>
      <c r="H868">
        <v>210</v>
      </c>
      <c r="I868" t="s">
        <v>64</v>
      </c>
      <c r="J868">
        <v>4.5</v>
      </c>
      <c r="K868">
        <v>20668</v>
      </c>
      <c r="L868">
        <v>0.3666666666666667</v>
      </c>
      <c r="M868" t="s">
        <v>18</v>
      </c>
    </row>
    <row r="869" spans="1:13" x14ac:dyDescent="0.3">
      <c r="A869" t="s">
        <v>1878</v>
      </c>
      <c r="B869" t="s">
        <v>1879</v>
      </c>
      <c r="C869" t="s">
        <v>1215</v>
      </c>
      <c r="D869" t="s">
        <v>1481</v>
      </c>
      <c r="E869">
        <v>165</v>
      </c>
      <c r="F869">
        <v>165</v>
      </c>
      <c r="G869">
        <v>0</v>
      </c>
      <c r="H869">
        <v>0</v>
      </c>
      <c r="I869" t="s">
        <v>17</v>
      </c>
      <c r="J869">
        <v>4.5</v>
      </c>
      <c r="K869">
        <v>1674</v>
      </c>
      <c r="L869">
        <v>0.11562499999999989</v>
      </c>
      <c r="M869" t="s">
        <v>18</v>
      </c>
    </row>
    <row r="870" spans="1:13" x14ac:dyDescent="0.3">
      <c r="A870" t="s">
        <v>1880</v>
      </c>
      <c r="B870" t="s">
        <v>1881</v>
      </c>
      <c r="C870" t="s">
        <v>15</v>
      </c>
      <c r="D870" t="s">
        <v>1620</v>
      </c>
      <c r="E870">
        <v>3499</v>
      </c>
      <c r="F870">
        <v>1699</v>
      </c>
      <c r="G870">
        <v>51</v>
      </c>
      <c r="H870">
        <v>1800</v>
      </c>
      <c r="I870" t="s">
        <v>167</v>
      </c>
      <c r="J870">
        <v>3.6</v>
      </c>
      <c r="K870">
        <v>7689</v>
      </c>
      <c r="L870">
        <v>0.288233137829912</v>
      </c>
      <c r="M870" t="s">
        <v>18</v>
      </c>
    </row>
    <row r="871" spans="1:13" x14ac:dyDescent="0.3">
      <c r="A871" t="s">
        <v>1882</v>
      </c>
      <c r="B871" t="s">
        <v>1883</v>
      </c>
      <c r="C871" t="s">
        <v>44</v>
      </c>
      <c r="D871" t="s">
        <v>1400</v>
      </c>
      <c r="E871">
        <v>7500</v>
      </c>
      <c r="F871">
        <v>2299</v>
      </c>
      <c r="G871">
        <v>69</v>
      </c>
      <c r="H871">
        <v>5201</v>
      </c>
      <c r="I871" t="s">
        <v>167</v>
      </c>
      <c r="J871">
        <v>4.0999999999999996</v>
      </c>
      <c r="K871">
        <v>5554</v>
      </c>
      <c r="L871">
        <v>0.16485930735930729</v>
      </c>
      <c r="M871" t="s">
        <v>18</v>
      </c>
    </row>
    <row r="872" spans="1:13" x14ac:dyDescent="0.3">
      <c r="A872" t="s">
        <v>1884</v>
      </c>
      <c r="B872" t="s">
        <v>1885</v>
      </c>
      <c r="C872" t="s">
        <v>15</v>
      </c>
      <c r="D872" t="s">
        <v>1384</v>
      </c>
      <c r="E872">
        <v>39</v>
      </c>
      <c r="F872">
        <v>39</v>
      </c>
      <c r="G872">
        <v>0</v>
      </c>
      <c r="H872">
        <v>0</v>
      </c>
      <c r="I872" t="s">
        <v>17</v>
      </c>
      <c r="J872">
        <v>3.8</v>
      </c>
      <c r="K872">
        <v>3344</v>
      </c>
      <c r="L872">
        <v>-7.8333333333333297E-2</v>
      </c>
      <c r="M872" t="s">
        <v>69</v>
      </c>
    </row>
    <row r="873" spans="1:13" x14ac:dyDescent="0.3">
      <c r="A873" t="s">
        <v>1886</v>
      </c>
      <c r="B873" t="s">
        <v>1887</v>
      </c>
      <c r="C873" t="s">
        <v>15</v>
      </c>
      <c r="D873" t="s">
        <v>1888</v>
      </c>
      <c r="E873">
        <v>37999</v>
      </c>
      <c r="F873">
        <v>26999</v>
      </c>
      <c r="G873">
        <v>29</v>
      </c>
      <c r="H873">
        <v>11000</v>
      </c>
      <c r="I873" t="s">
        <v>102</v>
      </c>
      <c r="J873">
        <v>4.5999999999999996</v>
      </c>
      <c r="K873">
        <v>2886</v>
      </c>
      <c r="L873">
        <v>0.22232421618785239</v>
      </c>
      <c r="M873" t="s">
        <v>18</v>
      </c>
    </row>
    <row r="874" spans="1:13" x14ac:dyDescent="0.3">
      <c r="A874" t="s">
        <v>1889</v>
      </c>
      <c r="B874" t="s">
        <v>1890</v>
      </c>
      <c r="C874" t="s">
        <v>44</v>
      </c>
      <c r="D874" t="s">
        <v>737</v>
      </c>
      <c r="E874">
        <v>1990</v>
      </c>
      <c r="F874">
        <v>1490</v>
      </c>
      <c r="G874">
        <v>25</v>
      </c>
      <c r="H874">
        <v>500</v>
      </c>
      <c r="I874" t="s">
        <v>64</v>
      </c>
      <c r="J874">
        <v>4.0999999999999996</v>
      </c>
      <c r="K874">
        <v>98250</v>
      </c>
      <c r="L874">
        <v>0.15954851015485341</v>
      </c>
      <c r="M874" t="s">
        <v>18</v>
      </c>
    </row>
    <row r="875" spans="1:13" x14ac:dyDescent="0.3">
      <c r="A875" t="s">
        <v>1891</v>
      </c>
      <c r="B875" t="s">
        <v>1892</v>
      </c>
      <c r="C875" t="s">
        <v>15</v>
      </c>
      <c r="D875" t="s">
        <v>1179</v>
      </c>
      <c r="E875">
        <v>1949</v>
      </c>
      <c r="F875">
        <v>398</v>
      </c>
      <c r="G875">
        <v>80</v>
      </c>
      <c r="H875">
        <v>1551</v>
      </c>
      <c r="I875" t="s">
        <v>17</v>
      </c>
      <c r="J875">
        <v>4</v>
      </c>
      <c r="K875">
        <v>75</v>
      </c>
      <c r="L875">
        <v>0.24124999999999999</v>
      </c>
      <c r="M875" t="s">
        <v>18</v>
      </c>
    </row>
    <row r="876" spans="1:13" x14ac:dyDescent="0.3">
      <c r="A876" t="s">
        <v>1893</v>
      </c>
      <c r="B876" t="s">
        <v>1894</v>
      </c>
      <c r="C876" t="s">
        <v>15</v>
      </c>
      <c r="D876" t="s">
        <v>1620</v>
      </c>
      <c r="E876">
        <v>1547</v>
      </c>
      <c r="F876">
        <v>770</v>
      </c>
      <c r="G876">
        <v>50</v>
      </c>
      <c r="H876">
        <v>777</v>
      </c>
      <c r="I876" t="s">
        <v>64</v>
      </c>
      <c r="J876">
        <v>4.3</v>
      </c>
      <c r="K876">
        <v>2585</v>
      </c>
      <c r="L876">
        <v>0.05</v>
      </c>
      <c r="M876" t="s">
        <v>103</v>
      </c>
    </row>
    <row r="877" spans="1:13" x14ac:dyDescent="0.3">
      <c r="A877" t="s">
        <v>1895</v>
      </c>
      <c r="B877" t="s">
        <v>1896</v>
      </c>
      <c r="C877" t="s">
        <v>44</v>
      </c>
      <c r="D877" t="s">
        <v>841</v>
      </c>
      <c r="E877">
        <v>1299</v>
      </c>
      <c r="F877">
        <v>279</v>
      </c>
      <c r="G877">
        <v>79</v>
      </c>
      <c r="H877">
        <v>1020</v>
      </c>
      <c r="I877" t="s">
        <v>17</v>
      </c>
      <c r="J877">
        <v>4</v>
      </c>
      <c r="K877">
        <v>5072</v>
      </c>
      <c r="L877">
        <v>5.4487179487179398E-2</v>
      </c>
      <c r="M877" t="s">
        <v>103</v>
      </c>
    </row>
    <row r="878" spans="1:13" x14ac:dyDescent="0.3">
      <c r="A878" t="s">
        <v>1897</v>
      </c>
      <c r="B878" t="s">
        <v>1898</v>
      </c>
      <c r="C878" t="s">
        <v>1570</v>
      </c>
      <c r="D878" t="s">
        <v>1899</v>
      </c>
      <c r="E878">
        <v>599</v>
      </c>
      <c r="F878">
        <v>249</v>
      </c>
      <c r="G878">
        <v>58</v>
      </c>
      <c r="H878">
        <v>350</v>
      </c>
      <c r="I878" t="s">
        <v>17</v>
      </c>
      <c r="J878">
        <v>4.5</v>
      </c>
      <c r="K878">
        <v>5985</v>
      </c>
      <c r="L878">
        <v>0.15329877112135171</v>
      </c>
      <c r="M878" t="s">
        <v>18</v>
      </c>
    </row>
    <row r="879" spans="1:13" x14ac:dyDescent="0.3">
      <c r="A879" t="s">
        <v>1900</v>
      </c>
      <c r="B879" t="s">
        <v>1901</v>
      </c>
      <c r="C879" t="s">
        <v>1219</v>
      </c>
      <c r="D879" t="s">
        <v>1902</v>
      </c>
      <c r="E879">
        <v>230</v>
      </c>
      <c r="F879">
        <v>230</v>
      </c>
      <c r="G879">
        <v>0</v>
      </c>
      <c r="H879">
        <v>0</v>
      </c>
      <c r="I879" t="s">
        <v>17</v>
      </c>
      <c r="J879">
        <v>4.5</v>
      </c>
      <c r="K879">
        <v>9427</v>
      </c>
      <c r="L879">
        <v>0.43055555555555558</v>
      </c>
      <c r="M879" t="s">
        <v>18</v>
      </c>
    </row>
    <row r="880" spans="1:13" x14ac:dyDescent="0.3">
      <c r="A880" t="s">
        <v>1903</v>
      </c>
      <c r="B880" t="s">
        <v>1904</v>
      </c>
      <c r="C880" t="s">
        <v>15</v>
      </c>
      <c r="D880" t="s">
        <v>1276</v>
      </c>
      <c r="E880">
        <v>700</v>
      </c>
      <c r="F880">
        <v>599</v>
      </c>
      <c r="G880">
        <v>14</v>
      </c>
      <c r="H880">
        <v>101</v>
      </c>
      <c r="I880" t="s">
        <v>64</v>
      </c>
      <c r="J880">
        <v>4.3</v>
      </c>
      <c r="K880">
        <v>2301</v>
      </c>
      <c r="L880">
        <v>0.27112244897959181</v>
      </c>
      <c r="M880" t="s">
        <v>18</v>
      </c>
    </row>
    <row r="881" spans="1:13" x14ac:dyDescent="0.3">
      <c r="A881" t="s">
        <v>1905</v>
      </c>
      <c r="B881" t="s">
        <v>1906</v>
      </c>
      <c r="C881" t="s">
        <v>15</v>
      </c>
      <c r="D881" t="s">
        <v>1907</v>
      </c>
      <c r="E881">
        <v>1150</v>
      </c>
      <c r="F881">
        <v>598</v>
      </c>
      <c r="G881">
        <v>48</v>
      </c>
      <c r="H881">
        <v>552</v>
      </c>
      <c r="I881" t="s">
        <v>64</v>
      </c>
      <c r="J881">
        <v>4.0999999999999996</v>
      </c>
      <c r="K881">
        <v>2535</v>
      </c>
      <c r="L881">
        <v>0.7</v>
      </c>
      <c r="M881" t="s">
        <v>18</v>
      </c>
    </row>
    <row r="882" spans="1:13" x14ac:dyDescent="0.3">
      <c r="A882" t="s">
        <v>1908</v>
      </c>
      <c r="B882" t="s">
        <v>1909</v>
      </c>
      <c r="C882" t="s">
        <v>15</v>
      </c>
      <c r="D882" t="s">
        <v>918</v>
      </c>
      <c r="E882">
        <v>1499</v>
      </c>
      <c r="F882">
        <v>399</v>
      </c>
      <c r="G882">
        <v>73</v>
      </c>
      <c r="H882">
        <v>1100</v>
      </c>
      <c r="I882" t="s">
        <v>17</v>
      </c>
      <c r="J882">
        <v>4</v>
      </c>
      <c r="K882">
        <v>691</v>
      </c>
      <c r="L882">
        <v>0.2074074074074074</v>
      </c>
      <c r="M882" t="s">
        <v>18</v>
      </c>
    </row>
    <row r="883" spans="1:13" x14ac:dyDescent="0.3">
      <c r="A883" t="s">
        <v>1910</v>
      </c>
      <c r="B883" t="s">
        <v>1911</v>
      </c>
      <c r="C883" t="s">
        <v>15</v>
      </c>
      <c r="D883" t="s">
        <v>1179</v>
      </c>
      <c r="E883">
        <v>1299</v>
      </c>
      <c r="F883">
        <v>499</v>
      </c>
      <c r="G883">
        <v>62</v>
      </c>
      <c r="H883">
        <v>800</v>
      </c>
      <c r="I883" t="s">
        <v>17</v>
      </c>
      <c r="J883">
        <v>4.0999999999999996</v>
      </c>
      <c r="K883">
        <v>2740</v>
      </c>
      <c r="L883">
        <v>0.3125</v>
      </c>
      <c r="M883" t="s">
        <v>18</v>
      </c>
    </row>
    <row r="884" spans="1:13" x14ac:dyDescent="0.3">
      <c r="A884" t="s">
        <v>1912</v>
      </c>
      <c r="B884" t="s">
        <v>1913</v>
      </c>
      <c r="C884" t="s">
        <v>15</v>
      </c>
      <c r="D884" t="s">
        <v>1171</v>
      </c>
      <c r="E884">
        <v>1090</v>
      </c>
      <c r="F884">
        <v>579</v>
      </c>
      <c r="G884">
        <v>47</v>
      </c>
      <c r="H884">
        <v>511</v>
      </c>
      <c r="I884" t="s">
        <v>64</v>
      </c>
      <c r="J884">
        <v>4.4000000000000004</v>
      </c>
      <c r="K884">
        <v>3482</v>
      </c>
      <c r="L884">
        <v>0.58846153846153848</v>
      </c>
      <c r="M884" t="s">
        <v>18</v>
      </c>
    </row>
    <row r="885" spans="1:13" x14ac:dyDescent="0.3">
      <c r="A885" t="s">
        <v>1914</v>
      </c>
      <c r="B885" t="s">
        <v>1915</v>
      </c>
      <c r="C885" t="s">
        <v>1215</v>
      </c>
      <c r="D885" t="s">
        <v>1916</v>
      </c>
      <c r="E885">
        <v>100</v>
      </c>
      <c r="F885">
        <v>90</v>
      </c>
      <c r="G885">
        <v>10</v>
      </c>
      <c r="H885">
        <v>10</v>
      </c>
      <c r="I885" t="s">
        <v>17</v>
      </c>
      <c r="J885">
        <v>4.0999999999999996</v>
      </c>
      <c r="K885">
        <v>6199</v>
      </c>
      <c r="L885">
        <v>0.1755555555555556</v>
      </c>
      <c r="M885" t="s">
        <v>18</v>
      </c>
    </row>
    <row r="886" spans="1:13" x14ac:dyDescent="0.3">
      <c r="A886" t="s">
        <v>1917</v>
      </c>
      <c r="B886" t="s">
        <v>1918</v>
      </c>
      <c r="C886" t="s">
        <v>15</v>
      </c>
      <c r="D886" t="s">
        <v>1179</v>
      </c>
      <c r="E886">
        <v>1999</v>
      </c>
      <c r="F886">
        <v>899</v>
      </c>
      <c r="G886">
        <v>55</v>
      </c>
      <c r="H886">
        <v>1100</v>
      </c>
      <c r="I886" t="s">
        <v>64</v>
      </c>
      <c r="J886">
        <v>4.4000000000000004</v>
      </c>
      <c r="K886">
        <v>1667</v>
      </c>
      <c r="L886">
        <v>0.3489166666666666</v>
      </c>
      <c r="M886" t="s">
        <v>18</v>
      </c>
    </row>
    <row r="887" spans="1:13" x14ac:dyDescent="0.3">
      <c r="A887" t="s">
        <v>1919</v>
      </c>
      <c r="B887" t="s">
        <v>1920</v>
      </c>
      <c r="C887" t="s">
        <v>15</v>
      </c>
      <c r="D887" t="s">
        <v>1760</v>
      </c>
      <c r="E887">
        <v>1800</v>
      </c>
      <c r="F887">
        <v>1149</v>
      </c>
      <c r="G887">
        <v>36</v>
      </c>
      <c r="H887">
        <v>651</v>
      </c>
      <c r="I887" t="s">
        <v>64</v>
      </c>
      <c r="J887">
        <v>4.3</v>
      </c>
      <c r="K887">
        <v>4723</v>
      </c>
      <c r="L887">
        <v>0.25684523809523802</v>
      </c>
      <c r="M887" t="s">
        <v>18</v>
      </c>
    </row>
    <row r="888" spans="1:13" x14ac:dyDescent="0.3">
      <c r="A888" t="s">
        <v>1921</v>
      </c>
      <c r="B888" t="s">
        <v>1922</v>
      </c>
      <c r="C888" t="s">
        <v>15</v>
      </c>
      <c r="D888" t="s">
        <v>1464</v>
      </c>
      <c r="E888">
        <v>499</v>
      </c>
      <c r="F888">
        <v>249</v>
      </c>
      <c r="G888">
        <v>50</v>
      </c>
      <c r="H888">
        <v>250</v>
      </c>
      <c r="I888" t="s">
        <v>17</v>
      </c>
      <c r="J888">
        <v>4.2</v>
      </c>
      <c r="K888">
        <v>22860</v>
      </c>
      <c r="L888">
        <v>0.16029411764705881</v>
      </c>
      <c r="M888" t="s">
        <v>18</v>
      </c>
    </row>
    <row r="889" spans="1:13" x14ac:dyDescent="0.3">
      <c r="A889" t="s">
        <v>1923</v>
      </c>
      <c r="B889" t="s">
        <v>1924</v>
      </c>
      <c r="C889" t="s">
        <v>15</v>
      </c>
      <c r="D889" t="s">
        <v>1384</v>
      </c>
      <c r="E889">
        <v>39</v>
      </c>
      <c r="F889">
        <v>39</v>
      </c>
      <c r="G889">
        <v>0</v>
      </c>
      <c r="H889">
        <v>0</v>
      </c>
      <c r="I889" t="s">
        <v>17</v>
      </c>
      <c r="J889">
        <v>3.6</v>
      </c>
      <c r="K889">
        <v>13572</v>
      </c>
      <c r="L889">
        <v>0.4754166666666666</v>
      </c>
      <c r="M889" t="s">
        <v>18</v>
      </c>
    </row>
    <row r="890" spans="1:13" x14ac:dyDescent="0.3">
      <c r="A890" t="s">
        <v>1925</v>
      </c>
      <c r="B890" t="s">
        <v>1926</v>
      </c>
      <c r="C890" t="s">
        <v>15</v>
      </c>
      <c r="D890" t="s">
        <v>1252</v>
      </c>
      <c r="E890">
        <v>3599</v>
      </c>
      <c r="F890">
        <v>1599</v>
      </c>
      <c r="G890">
        <v>56</v>
      </c>
      <c r="H890">
        <v>2000</v>
      </c>
      <c r="I890" t="s">
        <v>167</v>
      </c>
      <c r="J890">
        <v>4.2</v>
      </c>
      <c r="K890">
        <v>16182</v>
      </c>
      <c r="L890">
        <v>7.2626262626262594E-2</v>
      </c>
      <c r="M890" t="s">
        <v>103</v>
      </c>
    </row>
    <row r="891" spans="1:13" x14ac:dyDescent="0.3">
      <c r="A891" t="s">
        <v>1927</v>
      </c>
      <c r="B891" t="s">
        <v>1928</v>
      </c>
      <c r="C891" t="s">
        <v>44</v>
      </c>
      <c r="D891" t="s">
        <v>1318</v>
      </c>
      <c r="E891">
        <v>3990</v>
      </c>
      <c r="F891">
        <v>1199</v>
      </c>
      <c r="G891">
        <v>70</v>
      </c>
      <c r="H891">
        <v>2791</v>
      </c>
      <c r="I891" t="s">
        <v>64</v>
      </c>
      <c r="J891">
        <v>4.2</v>
      </c>
      <c r="K891">
        <v>2908</v>
      </c>
      <c r="L891">
        <v>0.19424107142857139</v>
      </c>
      <c r="M891" t="s">
        <v>18</v>
      </c>
    </row>
    <row r="892" spans="1:13" x14ac:dyDescent="0.3">
      <c r="A892" t="s">
        <v>1929</v>
      </c>
      <c r="B892" t="s">
        <v>1930</v>
      </c>
      <c r="C892" t="s">
        <v>15</v>
      </c>
      <c r="D892" t="s">
        <v>1171</v>
      </c>
      <c r="E892">
        <v>1499</v>
      </c>
      <c r="F892">
        <v>1099</v>
      </c>
      <c r="G892">
        <v>27</v>
      </c>
      <c r="H892">
        <v>400</v>
      </c>
      <c r="I892" t="s">
        <v>64</v>
      </c>
      <c r="J892">
        <v>4.2</v>
      </c>
      <c r="K892">
        <v>2375</v>
      </c>
      <c r="L892">
        <v>0.1793382352941176</v>
      </c>
      <c r="M892" t="s">
        <v>18</v>
      </c>
    </row>
    <row r="893" spans="1:13" x14ac:dyDescent="0.3">
      <c r="A893" t="s">
        <v>1931</v>
      </c>
      <c r="B893" t="s">
        <v>1932</v>
      </c>
      <c r="C893" t="s">
        <v>1215</v>
      </c>
      <c r="D893" t="s">
        <v>1481</v>
      </c>
      <c r="E893">
        <v>120</v>
      </c>
      <c r="F893">
        <v>120</v>
      </c>
      <c r="G893">
        <v>0</v>
      </c>
      <c r="H893">
        <v>0</v>
      </c>
      <c r="I893" t="s">
        <v>17</v>
      </c>
      <c r="J893">
        <v>4.5</v>
      </c>
      <c r="K893">
        <v>4951</v>
      </c>
      <c r="L893">
        <v>0.61999999999999988</v>
      </c>
      <c r="M893" t="s">
        <v>18</v>
      </c>
    </row>
    <row r="894" spans="1:13" x14ac:dyDescent="0.3">
      <c r="A894" t="s">
        <v>1933</v>
      </c>
      <c r="B894" t="s">
        <v>1934</v>
      </c>
      <c r="C894" t="s">
        <v>15</v>
      </c>
      <c r="D894" t="s">
        <v>1760</v>
      </c>
      <c r="E894">
        <v>3499</v>
      </c>
      <c r="F894">
        <v>1519</v>
      </c>
      <c r="G894">
        <v>57</v>
      </c>
      <c r="H894">
        <v>1980</v>
      </c>
      <c r="I894" t="s">
        <v>167</v>
      </c>
      <c r="J894">
        <v>4.3</v>
      </c>
      <c r="K894">
        <v>408</v>
      </c>
      <c r="L894">
        <v>0.2706770833333334</v>
      </c>
      <c r="M894" t="s">
        <v>18</v>
      </c>
    </row>
    <row r="895" spans="1:13" x14ac:dyDescent="0.3">
      <c r="A895" t="s">
        <v>1935</v>
      </c>
      <c r="B895" t="s">
        <v>1936</v>
      </c>
      <c r="C895" t="s">
        <v>1215</v>
      </c>
      <c r="D895" t="s">
        <v>1916</v>
      </c>
      <c r="E895">
        <v>420</v>
      </c>
      <c r="F895">
        <v>420</v>
      </c>
      <c r="G895">
        <v>0</v>
      </c>
      <c r="H895">
        <v>0</v>
      </c>
      <c r="I895" t="s">
        <v>17</v>
      </c>
      <c r="J895">
        <v>4.2</v>
      </c>
      <c r="K895">
        <v>1926</v>
      </c>
      <c r="L895">
        <v>0.5345833333333333</v>
      </c>
      <c r="M895" t="s">
        <v>18</v>
      </c>
    </row>
    <row r="896" spans="1:13" x14ac:dyDescent="0.3">
      <c r="A896" t="s">
        <v>1937</v>
      </c>
      <c r="B896" t="s">
        <v>1938</v>
      </c>
      <c r="C896" t="s">
        <v>1215</v>
      </c>
      <c r="D896" t="s">
        <v>1939</v>
      </c>
      <c r="E896">
        <v>225</v>
      </c>
      <c r="F896">
        <v>225</v>
      </c>
      <c r="G896">
        <v>0</v>
      </c>
      <c r="H896">
        <v>0</v>
      </c>
      <c r="I896" t="s">
        <v>17</v>
      </c>
      <c r="J896">
        <v>4.0999999999999996</v>
      </c>
      <c r="K896">
        <v>4798</v>
      </c>
      <c r="L896">
        <v>0.2089668320971495</v>
      </c>
      <c r="M896" t="s">
        <v>18</v>
      </c>
    </row>
    <row r="897" spans="1:13" x14ac:dyDescent="0.3">
      <c r="A897" t="s">
        <v>1940</v>
      </c>
      <c r="B897" t="s">
        <v>1941</v>
      </c>
      <c r="C897" t="s">
        <v>15</v>
      </c>
      <c r="D897" t="s">
        <v>1942</v>
      </c>
      <c r="E897">
        <v>799</v>
      </c>
      <c r="F897">
        <v>199</v>
      </c>
      <c r="G897">
        <v>75</v>
      </c>
      <c r="H897">
        <v>600</v>
      </c>
      <c r="I897" t="s">
        <v>17</v>
      </c>
      <c r="J897">
        <v>4.0999999999999996</v>
      </c>
      <c r="K897">
        <v>7333</v>
      </c>
      <c r="L897">
        <v>0.1522222222222222</v>
      </c>
      <c r="M897" t="s">
        <v>18</v>
      </c>
    </row>
    <row r="898" spans="1:13" x14ac:dyDescent="0.3">
      <c r="A898" t="s">
        <v>1943</v>
      </c>
      <c r="B898" t="s">
        <v>1944</v>
      </c>
      <c r="C898" t="s">
        <v>15</v>
      </c>
      <c r="D898" t="s">
        <v>1787</v>
      </c>
      <c r="E898">
        <v>9625</v>
      </c>
      <c r="F898">
        <v>8349</v>
      </c>
      <c r="G898">
        <v>13</v>
      </c>
      <c r="H898">
        <v>1276</v>
      </c>
      <c r="I898" t="s">
        <v>55</v>
      </c>
      <c r="J898">
        <v>3.8</v>
      </c>
      <c r="K898">
        <v>3652</v>
      </c>
      <c r="L898">
        <v>0.1064463601532567</v>
      </c>
      <c r="M898" t="s">
        <v>18</v>
      </c>
    </row>
    <row r="899" spans="1:13" x14ac:dyDescent="0.3">
      <c r="A899" t="s">
        <v>1945</v>
      </c>
      <c r="B899" t="s">
        <v>1946</v>
      </c>
      <c r="C899" t="s">
        <v>15</v>
      </c>
      <c r="D899" t="s">
        <v>1583</v>
      </c>
      <c r="E899">
        <v>6100</v>
      </c>
      <c r="F899">
        <v>3307</v>
      </c>
      <c r="G899">
        <v>46</v>
      </c>
      <c r="H899">
        <v>2793</v>
      </c>
      <c r="I899" t="s">
        <v>167</v>
      </c>
      <c r="J899">
        <v>4.3</v>
      </c>
      <c r="K899">
        <v>2515</v>
      </c>
      <c r="L899">
        <v>0.21326523476523471</v>
      </c>
      <c r="M899" t="s">
        <v>18</v>
      </c>
    </row>
    <row r="900" spans="1:13" x14ac:dyDescent="0.3">
      <c r="A900" t="s">
        <v>1947</v>
      </c>
      <c r="B900" t="s">
        <v>1948</v>
      </c>
      <c r="C900" t="s">
        <v>15</v>
      </c>
      <c r="D900" t="s">
        <v>1168</v>
      </c>
      <c r="E900">
        <v>1300</v>
      </c>
      <c r="F900">
        <v>449</v>
      </c>
      <c r="G900">
        <v>65</v>
      </c>
      <c r="H900">
        <v>851</v>
      </c>
      <c r="I900" t="s">
        <v>17</v>
      </c>
      <c r="J900">
        <v>4.2</v>
      </c>
      <c r="K900">
        <v>4959</v>
      </c>
      <c r="L900">
        <v>0.26057692307692309</v>
      </c>
      <c r="M900" t="s">
        <v>18</v>
      </c>
    </row>
    <row r="901" spans="1:13" x14ac:dyDescent="0.3">
      <c r="A901" t="s">
        <v>1949</v>
      </c>
      <c r="B901" t="s">
        <v>1950</v>
      </c>
      <c r="C901" t="s">
        <v>44</v>
      </c>
      <c r="D901" t="s">
        <v>1212</v>
      </c>
      <c r="E901">
        <v>400</v>
      </c>
      <c r="F901">
        <v>380</v>
      </c>
      <c r="G901">
        <v>5</v>
      </c>
      <c r="H901">
        <v>20</v>
      </c>
      <c r="I901" t="s">
        <v>17</v>
      </c>
      <c r="J901">
        <v>4.4000000000000004</v>
      </c>
      <c r="K901">
        <v>2111</v>
      </c>
      <c r="L901">
        <v>0.1357440476190476</v>
      </c>
      <c r="M901" t="s">
        <v>18</v>
      </c>
    </row>
    <row r="902" spans="1:13" x14ac:dyDescent="0.3">
      <c r="A902" t="s">
        <v>1951</v>
      </c>
      <c r="B902" t="s">
        <v>1952</v>
      </c>
      <c r="C902" t="s">
        <v>15</v>
      </c>
      <c r="D902" t="s">
        <v>1174</v>
      </c>
      <c r="E902">
        <v>1399</v>
      </c>
      <c r="F902">
        <v>499</v>
      </c>
      <c r="G902">
        <v>64</v>
      </c>
      <c r="H902">
        <v>900</v>
      </c>
      <c r="I902" t="s">
        <v>17</v>
      </c>
      <c r="J902">
        <v>3.9</v>
      </c>
      <c r="K902">
        <v>1462</v>
      </c>
      <c r="L902">
        <v>0.28194139194139189</v>
      </c>
      <c r="M902" t="s">
        <v>18</v>
      </c>
    </row>
    <row r="903" spans="1:13" x14ac:dyDescent="0.3">
      <c r="A903" t="s">
        <v>1953</v>
      </c>
      <c r="B903" t="s">
        <v>1954</v>
      </c>
      <c r="C903" t="s">
        <v>15</v>
      </c>
      <c r="D903" t="s">
        <v>1955</v>
      </c>
      <c r="E903">
        <v>59890</v>
      </c>
      <c r="F903">
        <v>37247</v>
      </c>
      <c r="G903">
        <v>38</v>
      </c>
      <c r="H903">
        <v>22643</v>
      </c>
      <c r="I903" t="s">
        <v>102</v>
      </c>
      <c r="J903">
        <v>4</v>
      </c>
      <c r="K903">
        <v>323</v>
      </c>
      <c r="L903">
        <v>0.24850396825396831</v>
      </c>
      <c r="M903" t="s">
        <v>18</v>
      </c>
    </row>
    <row r="904" spans="1:13" x14ac:dyDescent="0.3">
      <c r="A904" t="s">
        <v>1956</v>
      </c>
      <c r="B904" t="s">
        <v>1957</v>
      </c>
      <c r="C904" t="s">
        <v>44</v>
      </c>
      <c r="D904" t="s">
        <v>1076</v>
      </c>
      <c r="E904">
        <v>2490</v>
      </c>
      <c r="F904">
        <v>849</v>
      </c>
      <c r="G904">
        <v>66</v>
      </c>
      <c r="H904">
        <v>1641</v>
      </c>
      <c r="I904" t="s">
        <v>64</v>
      </c>
      <c r="J904">
        <v>4.2</v>
      </c>
      <c r="K904">
        <v>91188</v>
      </c>
      <c r="L904">
        <v>0.34653896103896109</v>
      </c>
      <c r="M904" t="s">
        <v>18</v>
      </c>
    </row>
    <row r="905" spans="1:13" x14ac:dyDescent="0.3">
      <c r="A905" t="s">
        <v>1958</v>
      </c>
      <c r="B905" t="s">
        <v>1959</v>
      </c>
      <c r="C905" t="s">
        <v>44</v>
      </c>
      <c r="D905" t="s">
        <v>1461</v>
      </c>
      <c r="E905">
        <v>1999</v>
      </c>
      <c r="F905">
        <v>799</v>
      </c>
      <c r="G905">
        <v>60</v>
      </c>
      <c r="H905">
        <v>1200</v>
      </c>
      <c r="I905" t="s">
        <v>64</v>
      </c>
      <c r="J905">
        <v>3.7</v>
      </c>
      <c r="K905">
        <v>418</v>
      </c>
      <c r="L905">
        <v>0.22050595238095241</v>
      </c>
      <c r="M905" t="s">
        <v>18</v>
      </c>
    </row>
    <row r="906" spans="1:13" x14ac:dyDescent="0.3">
      <c r="A906" t="s">
        <v>1960</v>
      </c>
      <c r="B906" t="s">
        <v>1961</v>
      </c>
      <c r="C906" t="s">
        <v>15</v>
      </c>
      <c r="D906" t="s">
        <v>1384</v>
      </c>
      <c r="E906">
        <v>999</v>
      </c>
      <c r="F906">
        <v>298</v>
      </c>
      <c r="G906">
        <v>70</v>
      </c>
      <c r="H906">
        <v>701</v>
      </c>
      <c r="I906" t="s">
        <v>17</v>
      </c>
      <c r="J906">
        <v>4.3</v>
      </c>
      <c r="K906">
        <v>1552</v>
      </c>
      <c r="L906">
        <v>0.2994565217391304</v>
      </c>
      <c r="M906" t="s">
        <v>18</v>
      </c>
    </row>
    <row r="907" spans="1:13" x14ac:dyDescent="0.3">
      <c r="A907" t="s">
        <v>1962</v>
      </c>
      <c r="B907" t="s">
        <v>1963</v>
      </c>
      <c r="C907" t="s">
        <v>44</v>
      </c>
      <c r="D907" t="s">
        <v>1461</v>
      </c>
      <c r="E907">
        <v>2999</v>
      </c>
      <c r="F907">
        <v>1499</v>
      </c>
      <c r="G907">
        <v>50</v>
      </c>
      <c r="H907">
        <v>1500</v>
      </c>
      <c r="I907" t="s">
        <v>64</v>
      </c>
      <c r="J907">
        <v>4.0999999999999996</v>
      </c>
      <c r="K907">
        <v>25262</v>
      </c>
      <c r="L907">
        <v>0.1609821428571428</v>
      </c>
      <c r="M907" t="s">
        <v>18</v>
      </c>
    </row>
    <row r="908" spans="1:13" x14ac:dyDescent="0.3">
      <c r="A908" t="s">
        <v>1964</v>
      </c>
      <c r="B908" t="s">
        <v>1965</v>
      </c>
      <c r="C908" t="s">
        <v>1219</v>
      </c>
      <c r="D908" t="s">
        <v>1966</v>
      </c>
      <c r="E908">
        <v>1245</v>
      </c>
      <c r="F908">
        <v>649</v>
      </c>
      <c r="G908">
        <v>48</v>
      </c>
      <c r="H908">
        <v>596</v>
      </c>
      <c r="I908" t="s">
        <v>64</v>
      </c>
      <c r="J908">
        <v>3.9</v>
      </c>
      <c r="K908">
        <v>123365</v>
      </c>
      <c r="L908">
        <v>0.1282045454545454</v>
      </c>
      <c r="M908" t="s">
        <v>18</v>
      </c>
    </row>
    <row r="909" spans="1:13" x14ac:dyDescent="0.3">
      <c r="A909" t="s">
        <v>1967</v>
      </c>
      <c r="B909" t="s">
        <v>1968</v>
      </c>
      <c r="C909" t="s">
        <v>1219</v>
      </c>
      <c r="D909" t="s">
        <v>1969</v>
      </c>
      <c r="E909">
        <v>1695</v>
      </c>
      <c r="F909">
        <v>1199</v>
      </c>
      <c r="G909">
        <v>29</v>
      </c>
      <c r="H909">
        <v>496</v>
      </c>
      <c r="I909" t="s">
        <v>64</v>
      </c>
      <c r="J909">
        <v>3.6</v>
      </c>
      <c r="K909">
        <v>13300</v>
      </c>
      <c r="L909">
        <v>0.1181216931216931</v>
      </c>
      <c r="M909" t="s">
        <v>18</v>
      </c>
    </row>
    <row r="910" spans="1:13" x14ac:dyDescent="0.3">
      <c r="A910" t="s">
        <v>1970</v>
      </c>
      <c r="B910" t="s">
        <v>1971</v>
      </c>
      <c r="C910" t="s">
        <v>1219</v>
      </c>
      <c r="D910" t="s">
        <v>1972</v>
      </c>
      <c r="E910">
        <v>2000</v>
      </c>
      <c r="F910">
        <v>1199</v>
      </c>
      <c r="G910">
        <v>40</v>
      </c>
      <c r="H910">
        <v>801</v>
      </c>
      <c r="I910" t="s">
        <v>64</v>
      </c>
      <c r="J910">
        <v>4</v>
      </c>
      <c r="K910">
        <v>18543</v>
      </c>
      <c r="L910">
        <v>0.50208333333333333</v>
      </c>
      <c r="M910" t="s">
        <v>18</v>
      </c>
    </row>
    <row r="911" spans="1:13" x14ac:dyDescent="0.3">
      <c r="A911" t="s">
        <v>1973</v>
      </c>
      <c r="B911" t="s">
        <v>1974</v>
      </c>
      <c r="C911" t="s">
        <v>1219</v>
      </c>
      <c r="D911" t="s">
        <v>1975</v>
      </c>
      <c r="E911">
        <v>999</v>
      </c>
      <c r="F911">
        <v>455</v>
      </c>
      <c r="G911">
        <v>54</v>
      </c>
      <c r="H911">
        <v>544</v>
      </c>
      <c r="I911" t="s">
        <v>17</v>
      </c>
      <c r="J911">
        <v>4.0999999999999996</v>
      </c>
      <c r="K911">
        <v>3578</v>
      </c>
      <c r="L911">
        <v>7.9456771298876502E-2</v>
      </c>
      <c r="M911" t="s">
        <v>103</v>
      </c>
    </row>
    <row r="912" spans="1:13" x14ac:dyDescent="0.3">
      <c r="A912" t="s">
        <v>1976</v>
      </c>
      <c r="B912" t="s">
        <v>1977</v>
      </c>
      <c r="C912" t="s">
        <v>1219</v>
      </c>
      <c r="D912" t="s">
        <v>1978</v>
      </c>
      <c r="E912">
        <v>1999</v>
      </c>
      <c r="F912">
        <v>199</v>
      </c>
      <c r="G912">
        <v>90</v>
      </c>
      <c r="H912">
        <v>1800</v>
      </c>
      <c r="I912" t="s">
        <v>17</v>
      </c>
      <c r="J912">
        <v>3.7</v>
      </c>
      <c r="K912">
        <v>2031</v>
      </c>
      <c r="L912">
        <v>0.34259259259259262</v>
      </c>
      <c r="M912" t="s">
        <v>18</v>
      </c>
    </row>
    <row r="913" spans="1:13" x14ac:dyDescent="0.3">
      <c r="A913" t="s">
        <v>1979</v>
      </c>
      <c r="B913" t="s">
        <v>1980</v>
      </c>
      <c r="C913" t="s">
        <v>1219</v>
      </c>
      <c r="D913" t="s">
        <v>1978</v>
      </c>
      <c r="E913">
        <v>499</v>
      </c>
      <c r="F913">
        <v>293</v>
      </c>
      <c r="G913">
        <v>41</v>
      </c>
      <c r="H913">
        <v>206</v>
      </c>
      <c r="I913" t="s">
        <v>17</v>
      </c>
      <c r="J913">
        <v>3.9</v>
      </c>
      <c r="K913">
        <v>44994</v>
      </c>
      <c r="L913">
        <v>0.3406249999999999</v>
      </c>
      <c r="M913" t="s">
        <v>18</v>
      </c>
    </row>
    <row r="914" spans="1:13" x14ac:dyDescent="0.3">
      <c r="A914" t="s">
        <v>1981</v>
      </c>
      <c r="B914" t="s">
        <v>1982</v>
      </c>
      <c r="C914" t="s">
        <v>1219</v>
      </c>
      <c r="D914" t="s">
        <v>1983</v>
      </c>
      <c r="E914">
        <v>495</v>
      </c>
      <c r="F914">
        <v>199</v>
      </c>
      <c r="G914">
        <v>60</v>
      </c>
      <c r="H914">
        <v>296</v>
      </c>
      <c r="I914" t="s">
        <v>17</v>
      </c>
      <c r="J914">
        <v>4.0999999999999996</v>
      </c>
      <c r="K914">
        <v>270563</v>
      </c>
      <c r="L914">
        <v>0.28684491978609622</v>
      </c>
      <c r="M914" t="s">
        <v>18</v>
      </c>
    </row>
    <row r="915" spans="1:13" x14ac:dyDescent="0.3">
      <c r="A915" t="s">
        <v>1984</v>
      </c>
      <c r="B915" t="s">
        <v>1985</v>
      </c>
      <c r="C915" t="s">
        <v>1219</v>
      </c>
      <c r="D915" t="s">
        <v>1966</v>
      </c>
      <c r="E915">
        <v>1245</v>
      </c>
      <c r="F915">
        <v>749</v>
      </c>
      <c r="G915">
        <v>40</v>
      </c>
      <c r="H915">
        <v>496</v>
      </c>
      <c r="I915" t="s">
        <v>64</v>
      </c>
      <c r="J915">
        <v>3.9</v>
      </c>
      <c r="K915">
        <v>31783</v>
      </c>
      <c r="L915">
        <v>1.375E-2</v>
      </c>
      <c r="M915" t="s">
        <v>103</v>
      </c>
    </row>
    <row r="916" spans="1:13" x14ac:dyDescent="0.3">
      <c r="A916" t="s">
        <v>1986</v>
      </c>
      <c r="B916" t="s">
        <v>1987</v>
      </c>
      <c r="C916" t="s">
        <v>1219</v>
      </c>
      <c r="D916" t="s">
        <v>1969</v>
      </c>
      <c r="E916">
        <v>1549</v>
      </c>
      <c r="F916">
        <v>1399</v>
      </c>
      <c r="G916">
        <v>10</v>
      </c>
      <c r="H916">
        <v>150</v>
      </c>
      <c r="I916" t="s">
        <v>64</v>
      </c>
      <c r="J916">
        <v>3.9</v>
      </c>
      <c r="K916">
        <v>2602</v>
      </c>
      <c r="L916">
        <v>0.3249999999999999</v>
      </c>
      <c r="M916" t="s">
        <v>18</v>
      </c>
    </row>
    <row r="917" spans="1:13" x14ac:dyDescent="0.3">
      <c r="A917" t="s">
        <v>1988</v>
      </c>
      <c r="B917" t="s">
        <v>1989</v>
      </c>
      <c r="C917" t="s">
        <v>1219</v>
      </c>
      <c r="D917" t="s">
        <v>1966</v>
      </c>
      <c r="E917">
        <v>1445</v>
      </c>
      <c r="F917">
        <v>749</v>
      </c>
      <c r="G917">
        <v>48</v>
      </c>
      <c r="H917">
        <v>696</v>
      </c>
      <c r="I917" t="s">
        <v>64</v>
      </c>
      <c r="J917">
        <v>3.9</v>
      </c>
      <c r="K917">
        <v>63350</v>
      </c>
      <c r="L917">
        <v>0.54696969696969699</v>
      </c>
      <c r="M917" t="s">
        <v>18</v>
      </c>
    </row>
    <row r="918" spans="1:13" x14ac:dyDescent="0.3">
      <c r="A918" t="s">
        <v>1990</v>
      </c>
      <c r="B918" t="s">
        <v>1991</v>
      </c>
      <c r="C918" t="s">
        <v>1219</v>
      </c>
      <c r="D918" t="s">
        <v>1992</v>
      </c>
      <c r="E918">
        <v>3193</v>
      </c>
      <c r="F918">
        <v>1699</v>
      </c>
      <c r="G918">
        <v>47</v>
      </c>
      <c r="H918">
        <v>1494</v>
      </c>
      <c r="I918" t="s">
        <v>167</v>
      </c>
      <c r="J918">
        <v>3.8</v>
      </c>
      <c r="K918">
        <v>54032</v>
      </c>
      <c r="L918">
        <v>7.6931818181818101E-2</v>
      </c>
      <c r="M918" t="s">
        <v>103</v>
      </c>
    </row>
    <row r="919" spans="1:13" x14ac:dyDescent="0.3">
      <c r="A919" t="s">
        <v>1993</v>
      </c>
      <c r="B919" t="s">
        <v>1994</v>
      </c>
      <c r="C919" t="s">
        <v>1219</v>
      </c>
      <c r="D919" t="s">
        <v>1966</v>
      </c>
      <c r="E919">
        <v>1345</v>
      </c>
      <c r="F919">
        <v>1043</v>
      </c>
      <c r="G919">
        <v>22</v>
      </c>
      <c r="H919">
        <v>302</v>
      </c>
      <c r="I919" t="s">
        <v>64</v>
      </c>
      <c r="J919">
        <v>3.8</v>
      </c>
      <c r="K919">
        <v>15592</v>
      </c>
      <c r="L919">
        <v>9.6587301587301597E-2</v>
      </c>
      <c r="M919" t="s">
        <v>103</v>
      </c>
    </row>
    <row r="920" spans="1:13" x14ac:dyDescent="0.3">
      <c r="A920" t="s">
        <v>1995</v>
      </c>
      <c r="B920" t="s">
        <v>1996</v>
      </c>
      <c r="C920" t="s">
        <v>1219</v>
      </c>
      <c r="D920" t="s">
        <v>1975</v>
      </c>
      <c r="E920">
        <v>999</v>
      </c>
      <c r="F920">
        <v>499</v>
      </c>
      <c r="G920">
        <v>50</v>
      </c>
      <c r="H920">
        <v>500</v>
      </c>
      <c r="I920" t="s">
        <v>17</v>
      </c>
      <c r="J920">
        <v>4.0999999999999996</v>
      </c>
      <c r="K920">
        <v>4859</v>
      </c>
      <c r="L920">
        <v>0.20256464889277381</v>
      </c>
      <c r="M920" t="s">
        <v>18</v>
      </c>
    </row>
    <row r="921" spans="1:13" x14ac:dyDescent="0.3">
      <c r="A921" t="s">
        <v>1997</v>
      </c>
      <c r="B921" t="s">
        <v>1998</v>
      </c>
      <c r="C921" t="s">
        <v>1219</v>
      </c>
      <c r="D921" t="s">
        <v>1972</v>
      </c>
      <c r="E921">
        <v>1650</v>
      </c>
      <c r="F921">
        <v>1464</v>
      </c>
      <c r="G921">
        <v>11</v>
      </c>
      <c r="H921">
        <v>186</v>
      </c>
      <c r="I921" t="s">
        <v>64</v>
      </c>
      <c r="J921">
        <v>4.0999999999999996</v>
      </c>
      <c r="K921">
        <v>14120</v>
      </c>
      <c r="L921">
        <v>0.1744444444444444</v>
      </c>
      <c r="M921" t="s">
        <v>18</v>
      </c>
    </row>
    <row r="922" spans="1:13" x14ac:dyDescent="0.3">
      <c r="A922" t="s">
        <v>1999</v>
      </c>
      <c r="B922" t="s">
        <v>2000</v>
      </c>
      <c r="C922" t="s">
        <v>1219</v>
      </c>
      <c r="D922" t="s">
        <v>2001</v>
      </c>
      <c r="E922">
        <v>499</v>
      </c>
      <c r="F922">
        <v>249</v>
      </c>
      <c r="G922">
        <v>50</v>
      </c>
      <c r="H922">
        <v>250</v>
      </c>
      <c r="I922" t="s">
        <v>17</v>
      </c>
      <c r="J922">
        <v>3.3</v>
      </c>
      <c r="K922">
        <v>8427</v>
      </c>
      <c r="L922">
        <v>0.17646581196581199</v>
      </c>
      <c r="M922" t="s">
        <v>18</v>
      </c>
    </row>
    <row r="923" spans="1:13" x14ac:dyDescent="0.3">
      <c r="A923" t="s">
        <v>2002</v>
      </c>
      <c r="B923" t="s">
        <v>2003</v>
      </c>
      <c r="C923" t="s">
        <v>1219</v>
      </c>
      <c r="D923" t="s">
        <v>2004</v>
      </c>
      <c r="E923">
        <v>1400</v>
      </c>
      <c r="F923">
        <v>625</v>
      </c>
      <c r="G923">
        <v>55</v>
      </c>
      <c r="H923">
        <v>775</v>
      </c>
      <c r="I923" t="s">
        <v>64</v>
      </c>
      <c r="J923">
        <v>4.2</v>
      </c>
      <c r="K923">
        <v>23316</v>
      </c>
      <c r="L923">
        <v>0.2143229166666667</v>
      </c>
      <c r="M923" t="s">
        <v>18</v>
      </c>
    </row>
    <row r="924" spans="1:13" x14ac:dyDescent="0.3">
      <c r="A924" t="s">
        <v>2005</v>
      </c>
      <c r="B924" t="s">
        <v>2006</v>
      </c>
      <c r="C924" t="s">
        <v>1219</v>
      </c>
      <c r="D924" t="s">
        <v>2007</v>
      </c>
      <c r="E924">
        <v>2500</v>
      </c>
      <c r="F924">
        <v>1290</v>
      </c>
      <c r="G924">
        <v>48</v>
      </c>
      <c r="H924">
        <v>1210</v>
      </c>
      <c r="I924" t="s">
        <v>64</v>
      </c>
      <c r="J924">
        <v>4</v>
      </c>
      <c r="K924">
        <v>6530</v>
      </c>
      <c r="L924">
        <v>9.44444444444444E-2</v>
      </c>
      <c r="M924" t="s">
        <v>103</v>
      </c>
    </row>
    <row r="925" spans="1:13" x14ac:dyDescent="0.3">
      <c r="A925" t="s">
        <v>2008</v>
      </c>
      <c r="B925" t="s">
        <v>2009</v>
      </c>
      <c r="C925" t="s">
        <v>1219</v>
      </c>
      <c r="D925" t="s">
        <v>2010</v>
      </c>
      <c r="E925">
        <v>6190</v>
      </c>
      <c r="F925">
        <v>3600</v>
      </c>
      <c r="G925">
        <v>42</v>
      </c>
      <c r="H925">
        <v>2590</v>
      </c>
      <c r="I925" t="s">
        <v>167</v>
      </c>
      <c r="J925">
        <v>4.3</v>
      </c>
      <c r="K925">
        <v>11924</v>
      </c>
      <c r="L925">
        <v>0.34166666666666667</v>
      </c>
      <c r="M925" t="s">
        <v>18</v>
      </c>
    </row>
    <row r="926" spans="1:13" x14ac:dyDescent="0.3">
      <c r="A926" t="s">
        <v>2011</v>
      </c>
      <c r="B926" t="s">
        <v>2012</v>
      </c>
      <c r="C926" t="s">
        <v>1219</v>
      </c>
      <c r="D926" t="s">
        <v>2013</v>
      </c>
      <c r="E926">
        <v>13999</v>
      </c>
      <c r="F926">
        <v>6549</v>
      </c>
      <c r="G926">
        <v>53</v>
      </c>
      <c r="H926">
        <v>7450</v>
      </c>
      <c r="I926" t="s">
        <v>55</v>
      </c>
      <c r="J926">
        <v>4</v>
      </c>
      <c r="K926">
        <v>2961</v>
      </c>
      <c r="L926">
        <v>8.9586339586339506E-2</v>
      </c>
      <c r="M926" t="s">
        <v>103</v>
      </c>
    </row>
    <row r="927" spans="1:13" x14ac:dyDescent="0.3">
      <c r="A927" t="s">
        <v>2014</v>
      </c>
      <c r="B927" t="s">
        <v>2015</v>
      </c>
      <c r="C927" t="s">
        <v>1219</v>
      </c>
      <c r="D927" t="s">
        <v>1966</v>
      </c>
      <c r="E927">
        <v>2995</v>
      </c>
      <c r="F927">
        <v>1625</v>
      </c>
      <c r="G927">
        <v>46</v>
      </c>
      <c r="H927">
        <v>1370</v>
      </c>
      <c r="I927" t="s">
        <v>167</v>
      </c>
      <c r="J927">
        <v>4.5</v>
      </c>
      <c r="K927">
        <v>23484</v>
      </c>
      <c r="L927">
        <v>0.39991666666666659</v>
      </c>
      <c r="M927" t="s">
        <v>18</v>
      </c>
    </row>
    <row r="928" spans="1:13" x14ac:dyDescent="0.3">
      <c r="A928" t="s">
        <v>2016</v>
      </c>
      <c r="B928" t="s">
        <v>2017</v>
      </c>
      <c r="C928" t="s">
        <v>1219</v>
      </c>
      <c r="D928" t="s">
        <v>2010</v>
      </c>
      <c r="E928">
        <v>5890</v>
      </c>
      <c r="F928">
        <v>2599</v>
      </c>
      <c r="G928">
        <v>56</v>
      </c>
      <c r="H928">
        <v>3291</v>
      </c>
      <c r="I928" t="s">
        <v>167</v>
      </c>
      <c r="J928">
        <v>4.0999999999999996</v>
      </c>
      <c r="K928">
        <v>21783</v>
      </c>
      <c r="L928">
        <v>0.27606060606060601</v>
      </c>
      <c r="M928" t="s">
        <v>18</v>
      </c>
    </row>
    <row r="929" spans="1:13" x14ac:dyDescent="0.3">
      <c r="A929" t="s">
        <v>2018</v>
      </c>
      <c r="B929" t="s">
        <v>2019</v>
      </c>
      <c r="C929" t="s">
        <v>1219</v>
      </c>
      <c r="D929" t="s">
        <v>2020</v>
      </c>
      <c r="E929">
        <v>2000</v>
      </c>
      <c r="F929">
        <v>1199</v>
      </c>
      <c r="G929">
        <v>40</v>
      </c>
      <c r="H929">
        <v>801</v>
      </c>
      <c r="I929" t="s">
        <v>64</v>
      </c>
      <c r="J929">
        <v>4</v>
      </c>
      <c r="K929">
        <v>14030</v>
      </c>
      <c r="L929">
        <v>0.2421875</v>
      </c>
      <c r="M929" t="s">
        <v>18</v>
      </c>
    </row>
    <row r="930" spans="1:13" x14ac:dyDescent="0.3">
      <c r="A930" t="s">
        <v>2021</v>
      </c>
      <c r="B930" t="s">
        <v>2022</v>
      </c>
      <c r="C930" t="s">
        <v>1219</v>
      </c>
      <c r="D930" t="s">
        <v>2023</v>
      </c>
      <c r="E930">
        <v>13150</v>
      </c>
      <c r="F930">
        <v>5499</v>
      </c>
      <c r="G930">
        <v>58</v>
      </c>
      <c r="H930">
        <v>7651</v>
      </c>
      <c r="I930" t="s">
        <v>55</v>
      </c>
      <c r="J930">
        <v>4.2</v>
      </c>
      <c r="K930">
        <v>6398</v>
      </c>
      <c r="L930">
        <v>0.3041666666666667</v>
      </c>
      <c r="M930" t="s">
        <v>18</v>
      </c>
    </row>
    <row r="931" spans="1:13" x14ac:dyDescent="0.3">
      <c r="A931" t="s">
        <v>2024</v>
      </c>
      <c r="B931" t="s">
        <v>2025</v>
      </c>
      <c r="C931" t="s">
        <v>1219</v>
      </c>
      <c r="D931" t="s">
        <v>2007</v>
      </c>
      <c r="E931">
        <v>3500</v>
      </c>
      <c r="F931">
        <v>1299</v>
      </c>
      <c r="G931">
        <v>63</v>
      </c>
      <c r="H931">
        <v>2201</v>
      </c>
      <c r="I931" t="s">
        <v>64</v>
      </c>
      <c r="J931">
        <v>3.8</v>
      </c>
      <c r="K931">
        <v>44050</v>
      </c>
      <c r="L931">
        <v>0.38750000000000001</v>
      </c>
      <c r="M931" t="s">
        <v>18</v>
      </c>
    </row>
    <row r="932" spans="1:13" x14ac:dyDescent="0.3">
      <c r="A932" t="s">
        <v>2026</v>
      </c>
      <c r="B932" t="s">
        <v>2027</v>
      </c>
      <c r="C932" t="s">
        <v>1219</v>
      </c>
      <c r="D932" t="s">
        <v>2004</v>
      </c>
      <c r="E932">
        <v>785</v>
      </c>
      <c r="F932">
        <v>599</v>
      </c>
      <c r="G932">
        <v>24</v>
      </c>
      <c r="H932">
        <v>186</v>
      </c>
      <c r="I932" t="s">
        <v>64</v>
      </c>
      <c r="J932">
        <v>4.2</v>
      </c>
      <c r="K932">
        <v>24247</v>
      </c>
      <c r="L932">
        <v>0.27154761904761898</v>
      </c>
      <c r="M932" t="s">
        <v>18</v>
      </c>
    </row>
    <row r="933" spans="1:13" x14ac:dyDescent="0.3">
      <c r="A933" t="s">
        <v>2028</v>
      </c>
      <c r="B933" t="s">
        <v>2029</v>
      </c>
      <c r="C933" t="s">
        <v>1219</v>
      </c>
      <c r="D933" t="s">
        <v>2007</v>
      </c>
      <c r="E933">
        <v>3210</v>
      </c>
      <c r="F933">
        <v>1999</v>
      </c>
      <c r="G933">
        <v>38</v>
      </c>
      <c r="H933">
        <v>1211</v>
      </c>
      <c r="I933" t="s">
        <v>167</v>
      </c>
      <c r="J933">
        <v>4.2</v>
      </c>
      <c r="K933">
        <v>41349</v>
      </c>
      <c r="L933">
        <v>0.26444444444444443</v>
      </c>
      <c r="M933" t="s">
        <v>18</v>
      </c>
    </row>
    <row r="934" spans="1:13" x14ac:dyDescent="0.3">
      <c r="A934" t="s">
        <v>2030</v>
      </c>
      <c r="B934" t="s">
        <v>2031</v>
      </c>
      <c r="C934" t="s">
        <v>1219</v>
      </c>
      <c r="D934" t="s">
        <v>2020</v>
      </c>
      <c r="E934">
        <v>1000</v>
      </c>
      <c r="F934">
        <v>549</v>
      </c>
      <c r="G934">
        <v>45</v>
      </c>
      <c r="H934">
        <v>451</v>
      </c>
      <c r="I934" t="s">
        <v>64</v>
      </c>
      <c r="J934">
        <v>3.6</v>
      </c>
      <c r="K934">
        <v>1074</v>
      </c>
      <c r="L934">
        <v>0.54</v>
      </c>
      <c r="M934" t="s">
        <v>18</v>
      </c>
    </row>
    <row r="935" spans="1:13" x14ac:dyDescent="0.3">
      <c r="A935" t="s">
        <v>2032</v>
      </c>
      <c r="B935" t="s">
        <v>2033</v>
      </c>
      <c r="C935" t="s">
        <v>1219</v>
      </c>
      <c r="D935" t="s">
        <v>1969</v>
      </c>
      <c r="E935">
        <v>2000</v>
      </c>
      <c r="F935">
        <v>999</v>
      </c>
      <c r="G935">
        <v>50</v>
      </c>
      <c r="H935">
        <v>1001</v>
      </c>
      <c r="I935" t="s">
        <v>64</v>
      </c>
      <c r="J935">
        <v>3.8</v>
      </c>
      <c r="K935">
        <v>1163</v>
      </c>
      <c r="L935">
        <v>0.24249999999999999</v>
      </c>
      <c r="M935" t="s">
        <v>18</v>
      </c>
    </row>
    <row r="936" spans="1:13" x14ac:dyDescent="0.3">
      <c r="A936" t="s">
        <v>2034</v>
      </c>
      <c r="B936" t="s">
        <v>2035</v>
      </c>
      <c r="C936" t="s">
        <v>1219</v>
      </c>
      <c r="D936" t="s">
        <v>1975</v>
      </c>
      <c r="E936">
        <v>1999</v>
      </c>
      <c r="F936">
        <v>398</v>
      </c>
      <c r="G936">
        <v>80</v>
      </c>
      <c r="H936">
        <v>1601</v>
      </c>
      <c r="I936" t="s">
        <v>17</v>
      </c>
      <c r="J936">
        <v>4.0999999999999996</v>
      </c>
      <c r="K936">
        <v>257</v>
      </c>
      <c r="L936">
        <v>0.14824999999999999</v>
      </c>
      <c r="M936" t="s">
        <v>18</v>
      </c>
    </row>
    <row r="937" spans="1:13" x14ac:dyDescent="0.3">
      <c r="A937" t="s">
        <v>2036</v>
      </c>
      <c r="B937" t="s">
        <v>2037</v>
      </c>
      <c r="C937" t="s">
        <v>1219</v>
      </c>
      <c r="D937" t="s">
        <v>2038</v>
      </c>
      <c r="E937">
        <v>720</v>
      </c>
      <c r="F937">
        <v>539</v>
      </c>
      <c r="G937">
        <v>25</v>
      </c>
      <c r="H937">
        <v>181</v>
      </c>
      <c r="I937" t="s">
        <v>64</v>
      </c>
      <c r="J937">
        <v>4.0999999999999996</v>
      </c>
      <c r="K937">
        <v>36017</v>
      </c>
      <c r="L937">
        <v>0.30909090909090908</v>
      </c>
      <c r="M937" t="s">
        <v>18</v>
      </c>
    </row>
    <row r="938" spans="1:13" x14ac:dyDescent="0.3">
      <c r="A938" t="s">
        <v>2039</v>
      </c>
      <c r="B938" t="s">
        <v>2040</v>
      </c>
      <c r="C938" t="s">
        <v>1219</v>
      </c>
      <c r="D938" t="s">
        <v>1966</v>
      </c>
      <c r="E938">
        <v>1595</v>
      </c>
      <c r="F938">
        <v>699</v>
      </c>
      <c r="G938">
        <v>56</v>
      </c>
      <c r="H938">
        <v>896</v>
      </c>
      <c r="I938" t="s">
        <v>64</v>
      </c>
      <c r="J938">
        <v>4.0999999999999996</v>
      </c>
      <c r="K938">
        <v>8090</v>
      </c>
      <c r="L938">
        <v>0.32240740740740742</v>
      </c>
      <c r="M938" t="s">
        <v>18</v>
      </c>
    </row>
    <row r="939" spans="1:13" x14ac:dyDescent="0.3">
      <c r="A939" t="s">
        <v>2041</v>
      </c>
      <c r="B939" t="s">
        <v>2042</v>
      </c>
      <c r="C939" t="s">
        <v>1219</v>
      </c>
      <c r="D939" t="s">
        <v>1992</v>
      </c>
      <c r="E939">
        <v>3645</v>
      </c>
      <c r="F939">
        <v>2148</v>
      </c>
      <c r="G939">
        <v>41</v>
      </c>
      <c r="H939">
        <v>1497</v>
      </c>
      <c r="I939" t="s">
        <v>167</v>
      </c>
      <c r="J939">
        <v>4.0999999999999996</v>
      </c>
      <c r="K939">
        <v>31388</v>
      </c>
      <c r="L939">
        <v>3.9583333333333297E-2</v>
      </c>
      <c r="M939" t="s">
        <v>103</v>
      </c>
    </row>
    <row r="940" spans="1:13" x14ac:dyDescent="0.3">
      <c r="A940" t="s">
        <v>2043</v>
      </c>
      <c r="B940" t="s">
        <v>2044</v>
      </c>
      <c r="C940" t="s">
        <v>1219</v>
      </c>
      <c r="D940" t="s">
        <v>2045</v>
      </c>
      <c r="E940">
        <v>7950</v>
      </c>
      <c r="F940">
        <v>3599</v>
      </c>
      <c r="G940">
        <v>55</v>
      </c>
      <c r="H940">
        <v>4351</v>
      </c>
      <c r="I940" t="s">
        <v>167</v>
      </c>
      <c r="J940">
        <v>4.2</v>
      </c>
      <c r="K940">
        <v>136</v>
      </c>
      <c r="L940">
        <v>0.20097701149425279</v>
      </c>
      <c r="M940" t="s">
        <v>18</v>
      </c>
    </row>
    <row r="941" spans="1:13" x14ac:dyDescent="0.3">
      <c r="A941" t="s">
        <v>2046</v>
      </c>
      <c r="B941" t="s">
        <v>2047</v>
      </c>
      <c r="C941" t="s">
        <v>1219</v>
      </c>
      <c r="D941" t="s">
        <v>2048</v>
      </c>
      <c r="E941">
        <v>999</v>
      </c>
      <c r="F941">
        <v>351</v>
      </c>
      <c r="G941">
        <v>65</v>
      </c>
      <c r="H941">
        <v>648</v>
      </c>
      <c r="I941" t="s">
        <v>17</v>
      </c>
      <c r="J941">
        <v>4</v>
      </c>
      <c r="K941">
        <v>5380</v>
      </c>
      <c r="L941">
        <v>0.49952380952380948</v>
      </c>
      <c r="M941" t="s">
        <v>18</v>
      </c>
    </row>
    <row r="942" spans="1:13" x14ac:dyDescent="0.3">
      <c r="A942" t="s">
        <v>2049</v>
      </c>
      <c r="B942" t="s">
        <v>2050</v>
      </c>
      <c r="C942" t="s">
        <v>1219</v>
      </c>
      <c r="D942" t="s">
        <v>2051</v>
      </c>
      <c r="E942">
        <v>1745</v>
      </c>
      <c r="F942">
        <v>1614</v>
      </c>
      <c r="G942">
        <v>8</v>
      </c>
      <c r="H942">
        <v>131</v>
      </c>
      <c r="I942" t="s">
        <v>167</v>
      </c>
      <c r="J942">
        <v>4.3</v>
      </c>
      <c r="K942">
        <v>37974</v>
      </c>
      <c r="L942">
        <v>0.1581003166287446</v>
      </c>
      <c r="M942" t="s">
        <v>18</v>
      </c>
    </row>
    <row r="943" spans="1:13" x14ac:dyDescent="0.3">
      <c r="A943" t="s">
        <v>2052</v>
      </c>
      <c r="B943" t="s">
        <v>2053</v>
      </c>
      <c r="C943" t="s">
        <v>1219</v>
      </c>
      <c r="D943" t="s">
        <v>2038</v>
      </c>
      <c r="E943">
        <v>1295</v>
      </c>
      <c r="F943">
        <v>719</v>
      </c>
      <c r="G943">
        <v>44</v>
      </c>
      <c r="H943">
        <v>576</v>
      </c>
      <c r="I943" t="s">
        <v>64</v>
      </c>
      <c r="J943">
        <v>4.2</v>
      </c>
      <c r="K943">
        <v>17218</v>
      </c>
      <c r="L943">
        <v>9.5919312169312196E-2</v>
      </c>
      <c r="M943" t="s">
        <v>103</v>
      </c>
    </row>
    <row r="944" spans="1:13" x14ac:dyDescent="0.3">
      <c r="A944" t="s">
        <v>2054</v>
      </c>
      <c r="B944" t="s">
        <v>2055</v>
      </c>
      <c r="C944" t="s">
        <v>1219</v>
      </c>
      <c r="D944" t="s">
        <v>1975</v>
      </c>
      <c r="E944">
        <v>1499</v>
      </c>
      <c r="F944">
        <v>678</v>
      </c>
      <c r="G944">
        <v>55</v>
      </c>
      <c r="H944">
        <v>821</v>
      </c>
      <c r="I944" t="s">
        <v>64</v>
      </c>
      <c r="J944">
        <v>4.2</v>
      </c>
      <c r="K944">
        <v>900</v>
      </c>
      <c r="L944">
        <v>0.32611111111111107</v>
      </c>
      <c r="M944" t="s">
        <v>18</v>
      </c>
    </row>
    <row r="945" spans="1:13" x14ac:dyDescent="0.3">
      <c r="A945" t="s">
        <v>2056</v>
      </c>
      <c r="B945" t="s">
        <v>2057</v>
      </c>
      <c r="C945" t="s">
        <v>1219</v>
      </c>
      <c r="D945" t="s">
        <v>2020</v>
      </c>
      <c r="E945">
        <v>1545</v>
      </c>
      <c r="F945">
        <v>809</v>
      </c>
      <c r="G945">
        <v>48</v>
      </c>
      <c r="H945">
        <v>736</v>
      </c>
      <c r="I945" t="s">
        <v>64</v>
      </c>
      <c r="J945">
        <v>3.7</v>
      </c>
      <c r="K945">
        <v>976</v>
      </c>
      <c r="L945">
        <v>0.1492083333333333</v>
      </c>
      <c r="M945" t="s">
        <v>18</v>
      </c>
    </row>
    <row r="946" spans="1:13" x14ac:dyDescent="0.3">
      <c r="A946" t="s">
        <v>2058</v>
      </c>
      <c r="B946" t="s">
        <v>2059</v>
      </c>
      <c r="C946" t="s">
        <v>1219</v>
      </c>
      <c r="D946" t="s">
        <v>2060</v>
      </c>
      <c r="E946">
        <v>5000</v>
      </c>
      <c r="F946">
        <v>1969</v>
      </c>
      <c r="G946">
        <v>61</v>
      </c>
      <c r="H946">
        <v>3031</v>
      </c>
      <c r="I946" t="s">
        <v>167</v>
      </c>
      <c r="J946">
        <v>4.0999999999999996</v>
      </c>
      <c r="K946">
        <v>4927</v>
      </c>
      <c r="L946">
        <v>0.2850558213716109</v>
      </c>
      <c r="M946" t="s">
        <v>18</v>
      </c>
    </row>
    <row r="947" spans="1:13" x14ac:dyDescent="0.3">
      <c r="A947" t="s">
        <v>2061</v>
      </c>
      <c r="B947" t="s">
        <v>2062</v>
      </c>
      <c r="C947" t="s">
        <v>1219</v>
      </c>
      <c r="D947" t="s">
        <v>1975</v>
      </c>
      <c r="E947">
        <v>1695</v>
      </c>
      <c r="F947">
        <v>1490</v>
      </c>
      <c r="G947">
        <v>12</v>
      </c>
      <c r="H947">
        <v>205</v>
      </c>
      <c r="I947" t="s">
        <v>64</v>
      </c>
      <c r="J947">
        <v>4.4000000000000004</v>
      </c>
      <c r="K947">
        <v>3543</v>
      </c>
      <c r="L947">
        <v>0.24404761904761901</v>
      </c>
      <c r="M947" t="s">
        <v>18</v>
      </c>
    </row>
    <row r="948" spans="1:13" x14ac:dyDescent="0.3">
      <c r="A948" t="s">
        <v>2063</v>
      </c>
      <c r="B948" t="s">
        <v>2064</v>
      </c>
      <c r="C948" t="s">
        <v>1219</v>
      </c>
      <c r="D948" t="s">
        <v>1969</v>
      </c>
      <c r="E948">
        <v>3945</v>
      </c>
      <c r="F948">
        <v>2499</v>
      </c>
      <c r="G948">
        <v>37</v>
      </c>
      <c r="H948">
        <v>1446</v>
      </c>
      <c r="I948" t="s">
        <v>167</v>
      </c>
      <c r="J948">
        <v>3.8</v>
      </c>
      <c r="K948">
        <v>2732</v>
      </c>
      <c r="L948">
        <v>1.6371794871794802E-2</v>
      </c>
      <c r="M948" t="s">
        <v>103</v>
      </c>
    </row>
    <row r="949" spans="1:13" x14ac:dyDescent="0.3">
      <c r="A949" t="s">
        <v>2065</v>
      </c>
      <c r="B949" t="s">
        <v>2066</v>
      </c>
      <c r="C949" t="s">
        <v>1219</v>
      </c>
      <c r="D949" t="s">
        <v>2067</v>
      </c>
      <c r="E949">
        <v>2099</v>
      </c>
      <c r="F949">
        <v>1665</v>
      </c>
      <c r="G949">
        <v>21</v>
      </c>
      <c r="H949">
        <v>434</v>
      </c>
      <c r="I949" t="s">
        <v>167</v>
      </c>
      <c r="J949">
        <v>4</v>
      </c>
      <c r="K949">
        <v>14368</v>
      </c>
      <c r="L949">
        <v>0.181859284126726</v>
      </c>
      <c r="M949" t="s">
        <v>18</v>
      </c>
    </row>
    <row r="950" spans="1:13" x14ac:dyDescent="0.3">
      <c r="A950" t="s">
        <v>2068</v>
      </c>
      <c r="B950" t="s">
        <v>2069</v>
      </c>
      <c r="C950" t="s">
        <v>1219</v>
      </c>
      <c r="D950" t="s">
        <v>1992</v>
      </c>
      <c r="E950">
        <v>5295</v>
      </c>
      <c r="F950">
        <v>3229</v>
      </c>
      <c r="G950">
        <v>39</v>
      </c>
      <c r="H950">
        <v>2066</v>
      </c>
      <c r="I950" t="s">
        <v>167</v>
      </c>
      <c r="J950">
        <v>4.2</v>
      </c>
      <c r="K950">
        <v>39724</v>
      </c>
      <c r="L950">
        <v>-8.0267018335200002E-3</v>
      </c>
      <c r="M950" t="s">
        <v>103</v>
      </c>
    </row>
    <row r="951" spans="1:13" x14ac:dyDescent="0.3">
      <c r="A951" t="s">
        <v>2070</v>
      </c>
      <c r="B951" t="s">
        <v>2071</v>
      </c>
      <c r="C951" t="s">
        <v>1219</v>
      </c>
      <c r="D951" t="s">
        <v>1992</v>
      </c>
      <c r="E951">
        <v>3595</v>
      </c>
      <c r="F951">
        <v>1799</v>
      </c>
      <c r="G951">
        <v>50</v>
      </c>
      <c r="H951">
        <v>1796</v>
      </c>
      <c r="I951" t="s">
        <v>167</v>
      </c>
      <c r="J951">
        <v>3.8</v>
      </c>
      <c r="K951">
        <v>9791</v>
      </c>
      <c r="L951">
        <v>0.33055555555555549</v>
      </c>
      <c r="M951" t="s">
        <v>18</v>
      </c>
    </row>
    <row r="952" spans="1:13" x14ac:dyDescent="0.3">
      <c r="A952" t="s">
        <v>2072</v>
      </c>
      <c r="B952" t="s">
        <v>2073</v>
      </c>
      <c r="C952" t="s">
        <v>1219</v>
      </c>
      <c r="D952" t="s">
        <v>1966</v>
      </c>
      <c r="E952">
        <v>1699</v>
      </c>
      <c r="F952">
        <v>1260</v>
      </c>
      <c r="G952">
        <v>26</v>
      </c>
      <c r="H952">
        <v>439</v>
      </c>
      <c r="I952" t="s">
        <v>64</v>
      </c>
      <c r="J952">
        <v>4.2</v>
      </c>
      <c r="K952">
        <v>2891</v>
      </c>
      <c r="L952">
        <v>0.17671103019787229</v>
      </c>
      <c r="M952" t="s">
        <v>18</v>
      </c>
    </row>
    <row r="953" spans="1:13" x14ac:dyDescent="0.3">
      <c r="A953" t="s">
        <v>2074</v>
      </c>
      <c r="B953" t="s">
        <v>2075</v>
      </c>
      <c r="C953" t="s">
        <v>1219</v>
      </c>
      <c r="D953" t="s">
        <v>1969</v>
      </c>
      <c r="E953">
        <v>1129</v>
      </c>
      <c r="F953">
        <v>749</v>
      </c>
      <c r="G953">
        <v>34</v>
      </c>
      <c r="H953">
        <v>380</v>
      </c>
      <c r="I953" t="s">
        <v>64</v>
      </c>
      <c r="J953">
        <v>4</v>
      </c>
      <c r="K953">
        <v>2446</v>
      </c>
      <c r="L953">
        <v>0.25714285714285712</v>
      </c>
      <c r="M953" t="s">
        <v>18</v>
      </c>
    </row>
    <row r="954" spans="1:13" x14ac:dyDescent="0.3">
      <c r="A954" t="s">
        <v>2076</v>
      </c>
      <c r="B954" t="s">
        <v>2077</v>
      </c>
      <c r="C954" t="s">
        <v>1219</v>
      </c>
      <c r="D954" t="s">
        <v>2007</v>
      </c>
      <c r="E954">
        <v>5795</v>
      </c>
      <c r="F954">
        <v>3499</v>
      </c>
      <c r="G954">
        <v>40</v>
      </c>
      <c r="H954">
        <v>2296</v>
      </c>
      <c r="I954" t="s">
        <v>167</v>
      </c>
      <c r="J954">
        <v>3.9</v>
      </c>
      <c r="K954">
        <v>25340</v>
      </c>
      <c r="L954">
        <v>0.34516339869281049</v>
      </c>
      <c r="M954" t="s">
        <v>18</v>
      </c>
    </row>
    <row r="955" spans="1:13" x14ac:dyDescent="0.3">
      <c r="A955" t="s">
        <v>2078</v>
      </c>
      <c r="B955" t="s">
        <v>2079</v>
      </c>
      <c r="C955" t="s">
        <v>1219</v>
      </c>
      <c r="D955" t="s">
        <v>2080</v>
      </c>
      <c r="E955">
        <v>999</v>
      </c>
      <c r="F955">
        <v>379</v>
      </c>
      <c r="G955">
        <v>62</v>
      </c>
      <c r="H955">
        <v>620</v>
      </c>
      <c r="I955" t="s">
        <v>17</v>
      </c>
      <c r="J955">
        <v>4.3</v>
      </c>
      <c r="K955">
        <v>3096</v>
      </c>
      <c r="L955">
        <v>0.44437500000000002</v>
      </c>
      <c r="M955" t="s">
        <v>18</v>
      </c>
    </row>
    <row r="956" spans="1:13" x14ac:dyDescent="0.3">
      <c r="A956" t="s">
        <v>2081</v>
      </c>
      <c r="B956" t="s">
        <v>2082</v>
      </c>
      <c r="C956" t="s">
        <v>1219</v>
      </c>
      <c r="D956" t="s">
        <v>1969</v>
      </c>
      <c r="E956">
        <v>2400</v>
      </c>
      <c r="F956">
        <v>1099</v>
      </c>
      <c r="G956">
        <v>54</v>
      </c>
      <c r="H956">
        <v>1301</v>
      </c>
      <c r="I956" t="s">
        <v>64</v>
      </c>
      <c r="J956">
        <v>3.8</v>
      </c>
      <c r="K956">
        <v>4</v>
      </c>
      <c r="L956">
        <v>0.27666666666666662</v>
      </c>
      <c r="M956" t="s">
        <v>18</v>
      </c>
    </row>
    <row r="957" spans="1:13" x14ac:dyDescent="0.3">
      <c r="A957" t="s">
        <v>2083</v>
      </c>
      <c r="B957" t="s">
        <v>2084</v>
      </c>
      <c r="C957" t="s">
        <v>1219</v>
      </c>
      <c r="D957" t="s">
        <v>2020</v>
      </c>
      <c r="E957">
        <v>1299</v>
      </c>
      <c r="F957">
        <v>749</v>
      </c>
      <c r="G957">
        <v>42</v>
      </c>
      <c r="H957">
        <v>550</v>
      </c>
      <c r="I957" t="s">
        <v>64</v>
      </c>
      <c r="J957">
        <v>4</v>
      </c>
      <c r="K957">
        <v>119</v>
      </c>
      <c r="L957">
        <v>0.1962962962962963</v>
      </c>
      <c r="M957" t="s">
        <v>18</v>
      </c>
    </row>
    <row r="958" spans="1:13" x14ac:dyDescent="0.3">
      <c r="A958" t="s">
        <v>2085</v>
      </c>
      <c r="B958" t="s">
        <v>2086</v>
      </c>
      <c r="C958" t="s">
        <v>1219</v>
      </c>
      <c r="D958" t="s">
        <v>2087</v>
      </c>
      <c r="E958">
        <v>1299</v>
      </c>
      <c r="F958">
        <v>1299</v>
      </c>
      <c r="G958">
        <v>0</v>
      </c>
      <c r="H958">
        <v>0</v>
      </c>
      <c r="I958" t="s">
        <v>64</v>
      </c>
      <c r="J958">
        <v>4.2</v>
      </c>
      <c r="K958">
        <v>40106</v>
      </c>
      <c r="L958">
        <v>0.27190476190476193</v>
      </c>
      <c r="M958" t="s">
        <v>18</v>
      </c>
    </row>
    <row r="959" spans="1:13" x14ac:dyDescent="0.3">
      <c r="A959" t="s">
        <v>2088</v>
      </c>
      <c r="B959" t="s">
        <v>2089</v>
      </c>
      <c r="C959" t="s">
        <v>1219</v>
      </c>
      <c r="D959" t="s">
        <v>2004</v>
      </c>
      <c r="E959">
        <v>1090</v>
      </c>
      <c r="F959">
        <v>549</v>
      </c>
      <c r="G959">
        <v>50</v>
      </c>
      <c r="H959">
        <v>541</v>
      </c>
      <c r="I959" t="s">
        <v>64</v>
      </c>
      <c r="J959">
        <v>4.2</v>
      </c>
      <c r="K959">
        <v>13029</v>
      </c>
      <c r="L959">
        <v>0.41111111111111109</v>
      </c>
      <c r="M959" t="s">
        <v>18</v>
      </c>
    </row>
    <row r="960" spans="1:13" x14ac:dyDescent="0.3">
      <c r="A960" t="s">
        <v>2090</v>
      </c>
      <c r="B960" t="s">
        <v>2091</v>
      </c>
      <c r="C960" t="s">
        <v>1219</v>
      </c>
      <c r="D960" t="s">
        <v>1972</v>
      </c>
      <c r="E960">
        <v>2000</v>
      </c>
      <c r="F960">
        <v>899</v>
      </c>
      <c r="G960">
        <v>55</v>
      </c>
      <c r="H960">
        <v>1101</v>
      </c>
      <c r="I960" t="s">
        <v>64</v>
      </c>
      <c r="J960">
        <v>3.6</v>
      </c>
      <c r="K960">
        <v>291</v>
      </c>
      <c r="L960">
        <v>0.27500000000000002</v>
      </c>
      <c r="M960" t="s">
        <v>18</v>
      </c>
    </row>
    <row r="961" spans="1:13" x14ac:dyDescent="0.3">
      <c r="A961" t="s">
        <v>2092</v>
      </c>
      <c r="B961" t="s">
        <v>2093</v>
      </c>
      <c r="C961" t="s">
        <v>1219</v>
      </c>
      <c r="D961" t="s">
        <v>2004</v>
      </c>
      <c r="E961">
        <v>1545</v>
      </c>
      <c r="F961">
        <v>1321</v>
      </c>
      <c r="G961">
        <v>14</v>
      </c>
      <c r="H961">
        <v>224</v>
      </c>
      <c r="I961" t="s">
        <v>64</v>
      </c>
      <c r="J961">
        <v>4.3</v>
      </c>
      <c r="K961">
        <v>15453</v>
      </c>
      <c r="L961">
        <v>0.37142857142857139</v>
      </c>
      <c r="M961" t="s">
        <v>18</v>
      </c>
    </row>
    <row r="962" spans="1:13" x14ac:dyDescent="0.3">
      <c r="A962" t="s">
        <v>2094</v>
      </c>
      <c r="B962" t="s">
        <v>2095</v>
      </c>
      <c r="C962" t="s">
        <v>1219</v>
      </c>
      <c r="D962" t="s">
        <v>1975</v>
      </c>
      <c r="E962">
        <v>1999</v>
      </c>
      <c r="F962">
        <v>1099</v>
      </c>
      <c r="G962">
        <v>45</v>
      </c>
      <c r="H962">
        <v>900</v>
      </c>
      <c r="I962" t="s">
        <v>64</v>
      </c>
      <c r="J962">
        <v>4</v>
      </c>
      <c r="K962">
        <v>604</v>
      </c>
      <c r="L962">
        <v>0.30061409021086438</v>
      </c>
      <c r="M962" t="s">
        <v>18</v>
      </c>
    </row>
    <row r="963" spans="1:13" x14ac:dyDescent="0.3">
      <c r="A963" t="s">
        <v>2096</v>
      </c>
      <c r="B963" t="s">
        <v>2097</v>
      </c>
      <c r="C963" t="s">
        <v>1219</v>
      </c>
      <c r="D963" t="s">
        <v>2004</v>
      </c>
      <c r="E963">
        <v>875</v>
      </c>
      <c r="F963">
        <v>775</v>
      </c>
      <c r="G963">
        <v>11</v>
      </c>
      <c r="H963">
        <v>100</v>
      </c>
      <c r="I963" t="s">
        <v>64</v>
      </c>
      <c r="J963">
        <v>4.2</v>
      </c>
      <c r="K963">
        <v>46647</v>
      </c>
      <c r="L963">
        <v>0.41946428571428568</v>
      </c>
      <c r="M963" t="s">
        <v>18</v>
      </c>
    </row>
    <row r="964" spans="1:13" x14ac:dyDescent="0.3">
      <c r="A964" t="s">
        <v>2098</v>
      </c>
      <c r="B964" t="s">
        <v>2099</v>
      </c>
      <c r="C964" t="s">
        <v>1219</v>
      </c>
      <c r="D964" t="s">
        <v>2023</v>
      </c>
      <c r="E964">
        <v>15270</v>
      </c>
      <c r="F964">
        <v>6299</v>
      </c>
      <c r="G964">
        <v>59</v>
      </c>
      <c r="H964">
        <v>8971</v>
      </c>
      <c r="I964" t="s">
        <v>55</v>
      </c>
      <c r="J964">
        <v>4.0999999999999996</v>
      </c>
      <c r="K964">
        <v>3233</v>
      </c>
      <c r="L964">
        <v>5.3787878787878697E-2</v>
      </c>
      <c r="M964" t="s">
        <v>103</v>
      </c>
    </row>
    <row r="965" spans="1:13" x14ac:dyDescent="0.3">
      <c r="A965" t="s">
        <v>2100</v>
      </c>
      <c r="B965" t="s">
        <v>2101</v>
      </c>
      <c r="C965" t="s">
        <v>1219</v>
      </c>
      <c r="D965" t="s">
        <v>2051</v>
      </c>
      <c r="E965">
        <v>4195</v>
      </c>
      <c r="F965">
        <v>3190</v>
      </c>
      <c r="G965">
        <v>24</v>
      </c>
      <c r="H965">
        <v>1005</v>
      </c>
      <c r="I965" t="s">
        <v>167</v>
      </c>
      <c r="J965">
        <v>4</v>
      </c>
      <c r="K965">
        <v>1282</v>
      </c>
      <c r="L965">
        <v>0.1243888888888889</v>
      </c>
      <c r="M965" t="s">
        <v>18</v>
      </c>
    </row>
    <row r="966" spans="1:13" x14ac:dyDescent="0.3">
      <c r="A966" t="s">
        <v>2102</v>
      </c>
      <c r="B966" t="s">
        <v>2103</v>
      </c>
      <c r="C966" t="s">
        <v>1219</v>
      </c>
      <c r="D966" t="s">
        <v>1969</v>
      </c>
      <c r="E966">
        <v>1989</v>
      </c>
      <c r="F966">
        <v>799</v>
      </c>
      <c r="G966">
        <v>60</v>
      </c>
      <c r="H966">
        <v>1190</v>
      </c>
      <c r="I966" t="s">
        <v>64</v>
      </c>
      <c r="J966">
        <v>4.3</v>
      </c>
      <c r="K966">
        <v>70</v>
      </c>
      <c r="L966">
        <v>0.3784313725490196</v>
      </c>
      <c r="M966" t="s">
        <v>18</v>
      </c>
    </row>
    <row r="967" spans="1:13" x14ac:dyDescent="0.3">
      <c r="A967" t="s">
        <v>2104</v>
      </c>
      <c r="B967" t="s">
        <v>2105</v>
      </c>
      <c r="C967" t="s">
        <v>1219</v>
      </c>
      <c r="D967" t="s">
        <v>2060</v>
      </c>
      <c r="E967">
        <v>5000</v>
      </c>
      <c r="F967">
        <v>2699</v>
      </c>
      <c r="G967">
        <v>46</v>
      </c>
      <c r="H967">
        <v>2301</v>
      </c>
      <c r="I967" t="s">
        <v>167</v>
      </c>
      <c r="J967">
        <v>4</v>
      </c>
      <c r="K967">
        <v>26164</v>
      </c>
      <c r="L967">
        <v>0.26318594104308379</v>
      </c>
      <c r="M967" t="s">
        <v>18</v>
      </c>
    </row>
    <row r="968" spans="1:13" x14ac:dyDescent="0.3">
      <c r="A968" t="s">
        <v>2106</v>
      </c>
      <c r="B968" t="s">
        <v>2107</v>
      </c>
      <c r="C968" t="s">
        <v>1219</v>
      </c>
      <c r="D968" t="s">
        <v>2004</v>
      </c>
      <c r="E968">
        <v>990</v>
      </c>
      <c r="F968">
        <v>599</v>
      </c>
      <c r="G968">
        <v>39</v>
      </c>
      <c r="H968">
        <v>391</v>
      </c>
      <c r="I968" t="s">
        <v>64</v>
      </c>
      <c r="J968">
        <v>3.9</v>
      </c>
      <c r="K968">
        <v>16166</v>
      </c>
      <c r="L968">
        <v>0.5444444444444444</v>
      </c>
      <c r="M968" t="s">
        <v>18</v>
      </c>
    </row>
    <row r="969" spans="1:13" x14ac:dyDescent="0.3">
      <c r="A969" t="s">
        <v>2108</v>
      </c>
      <c r="B969" t="s">
        <v>2109</v>
      </c>
      <c r="C969" t="s">
        <v>1219</v>
      </c>
      <c r="D969" t="s">
        <v>2020</v>
      </c>
      <c r="E969">
        <v>1111</v>
      </c>
      <c r="F969">
        <v>749</v>
      </c>
      <c r="G969">
        <v>33</v>
      </c>
      <c r="H969">
        <v>362</v>
      </c>
      <c r="I969" t="s">
        <v>64</v>
      </c>
      <c r="J969">
        <v>4.2</v>
      </c>
      <c r="K969">
        <v>35693</v>
      </c>
      <c r="L969">
        <v>0.18126190476190471</v>
      </c>
      <c r="M969" t="s">
        <v>18</v>
      </c>
    </row>
    <row r="970" spans="1:13" x14ac:dyDescent="0.3">
      <c r="A970" t="s">
        <v>2110</v>
      </c>
      <c r="B970" t="s">
        <v>2111</v>
      </c>
      <c r="C970" t="s">
        <v>1219</v>
      </c>
      <c r="D970" t="s">
        <v>2023</v>
      </c>
      <c r="E970">
        <v>10400</v>
      </c>
      <c r="F970">
        <v>6199</v>
      </c>
      <c r="G970">
        <v>40</v>
      </c>
      <c r="H970">
        <v>4201</v>
      </c>
      <c r="I970" t="s">
        <v>55</v>
      </c>
      <c r="J970">
        <v>4.0999999999999996</v>
      </c>
      <c r="K970">
        <v>14391</v>
      </c>
      <c r="L970">
        <v>0.3250617283950617</v>
      </c>
      <c r="M970" t="s">
        <v>18</v>
      </c>
    </row>
    <row r="971" spans="1:13" x14ac:dyDescent="0.3">
      <c r="A971" t="s">
        <v>2112</v>
      </c>
      <c r="B971" t="s">
        <v>2113</v>
      </c>
      <c r="C971" t="s">
        <v>1219</v>
      </c>
      <c r="D971" t="s">
        <v>2114</v>
      </c>
      <c r="E971">
        <v>2490</v>
      </c>
      <c r="F971">
        <v>1819</v>
      </c>
      <c r="G971">
        <v>27</v>
      </c>
      <c r="H971">
        <v>671</v>
      </c>
      <c r="I971" t="s">
        <v>167</v>
      </c>
      <c r="J971">
        <v>4.4000000000000004</v>
      </c>
      <c r="K971">
        <v>7946</v>
      </c>
      <c r="L971">
        <v>0.3509126984126984</v>
      </c>
      <c r="M971" t="s">
        <v>18</v>
      </c>
    </row>
    <row r="972" spans="1:13" x14ac:dyDescent="0.3">
      <c r="A972" t="s">
        <v>2115</v>
      </c>
      <c r="B972" t="s">
        <v>2116</v>
      </c>
      <c r="C972" t="s">
        <v>1219</v>
      </c>
      <c r="D972" t="s">
        <v>2020</v>
      </c>
      <c r="E972">
        <v>1900</v>
      </c>
      <c r="F972">
        <v>1199</v>
      </c>
      <c r="G972">
        <v>37</v>
      </c>
      <c r="H972">
        <v>701</v>
      </c>
      <c r="I972" t="s">
        <v>64</v>
      </c>
      <c r="J972">
        <v>4</v>
      </c>
      <c r="K972">
        <v>1765</v>
      </c>
      <c r="L972">
        <v>0.61111111111111105</v>
      </c>
      <c r="M972" t="s">
        <v>18</v>
      </c>
    </row>
    <row r="973" spans="1:13" x14ac:dyDescent="0.3">
      <c r="A973" t="s">
        <v>2117</v>
      </c>
      <c r="B973" t="s">
        <v>2118</v>
      </c>
      <c r="C973" t="s">
        <v>1219</v>
      </c>
      <c r="D973" t="s">
        <v>2007</v>
      </c>
      <c r="E973">
        <v>6295</v>
      </c>
      <c r="F973">
        <v>3249</v>
      </c>
      <c r="G973">
        <v>48</v>
      </c>
      <c r="H973">
        <v>3046</v>
      </c>
      <c r="I973" t="s">
        <v>167</v>
      </c>
      <c r="J973">
        <v>3.8</v>
      </c>
      <c r="K973">
        <v>14062</v>
      </c>
      <c r="L973">
        <v>0.2255263157894736</v>
      </c>
      <c r="M973" t="s">
        <v>18</v>
      </c>
    </row>
    <row r="974" spans="1:13" x14ac:dyDescent="0.3">
      <c r="A974" t="s">
        <v>2119</v>
      </c>
      <c r="B974" t="s">
        <v>2120</v>
      </c>
      <c r="C974" t="s">
        <v>1219</v>
      </c>
      <c r="D974" t="s">
        <v>2080</v>
      </c>
      <c r="E974">
        <v>999</v>
      </c>
      <c r="F974">
        <v>349</v>
      </c>
      <c r="G974">
        <v>65</v>
      </c>
      <c r="H974">
        <v>650</v>
      </c>
      <c r="I974" t="s">
        <v>17</v>
      </c>
      <c r="J974">
        <v>4</v>
      </c>
      <c r="K974">
        <v>15646</v>
      </c>
      <c r="L974">
        <v>0.11890625</v>
      </c>
      <c r="M974" t="s">
        <v>18</v>
      </c>
    </row>
    <row r="975" spans="1:13" x14ac:dyDescent="0.3">
      <c r="A975" t="s">
        <v>2121</v>
      </c>
      <c r="B975" t="s">
        <v>2122</v>
      </c>
      <c r="C975" t="s">
        <v>1219</v>
      </c>
      <c r="D975" t="s">
        <v>1972</v>
      </c>
      <c r="E975">
        <v>1699</v>
      </c>
      <c r="F975">
        <v>1049</v>
      </c>
      <c r="G975">
        <v>38</v>
      </c>
      <c r="H975">
        <v>650</v>
      </c>
      <c r="I975" t="s">
        <v>64</v>
      </c>
      <c r="J975">
        <v>3.1</v>
      </c>
      <c r="K975">
        <v>111</v>
      </c>
      <c r="L975">
        <v>5.0909090909090897E-2</v>
      </c>
      <c r="M975" t="s">
        <v>103</v>
      </c>
    </row>
    <row r="976" spans="1:13" x14ac:dyDescent="0.3">
      <c r="A976" t="s">
        <v>2123</v>
      </c>
      <c r="B976" t="s">
        <v>2124</v>
      </c>
      <c r="C976" t="s">
        <v>1219</v>
      </c>
      <c r="D976" t="s">
        <v>2125</v>
      </c>
      <c r="E976">
        <v>1500</v>
      </c>
      <c r="F976">
        <v>799</v>
      </c>
      <c r="G976">
        <v>47</v>
      </c>
      <c r="H976">
        <v>701</v>
      </c>
      <c r="I976" t="s">
        <v>64</v>
      </c>
      <c r="J976">
        <v>4.3</v>
      </c>
      <c r="K976">
        <v>9695</v>
      </c>
      <c r="L976">
        <v>0.23866666666666661</v>
      </c>
      <c r="M976" t="s">
        <v>18</v>
      </c>
    </row>
    <row r="977" spans="1:13" x14ac:dyDescent="0.3">
      <c r="A977" t="s">
        <v>2126</v>
      </c>
      <c r="B977" t="s">
        <v>2127</v>
      </c>
      <c r="C977" t="s">
        <v>1219</v>
      </c>
      <c r="D977" t="s">
        <v>2023</v>
      </c>
      <c r="E977">
        <v>9650</v>
      </c>
      <c r="F977">
        <v>4999</v>
      </c>
      <c r="G977">
        <v>48</v>
      </c>
      <c r="H977">
        <v>4651</v>
      </c>
      <c r="I977" t="s">
        <v>167</v>
      </c>
      <c r="J977">
        <v>4.2</v>
      </c>
      <c r="K977">
        <v>1772</v>
      </c>
      <c r="L977">
        <v>0.39866666666666661</v>
      </c>
      <c r="M977" t="s">
        <v>18</v>
      </c>
    </row>
    <row r="978" spans="1:13" x14ac:dyDescent="0.3">
      <c r="A978" t="s">
        <v>2128</v>
      </c>
      <c r="B978" t="s">
        <v>2129</v>
      </c>
      <c r="C978" t="s">
        <v>1219</v>
      </c>
      <c r="D978" t="s">
        <v>2007</v>
      </c>
      <c r="E978">
        <v>10590</v>
      </c>
      <c r="F978">
        <v>6999</v>
      </c>
      <c r="G978">
        <v>34</v>
      </c>
      <c r="H978">
        <v>3591</v>
      </c>
      <c r="I978" t="s">
        <v>55</v>
      </c>
      <c r="J978">
        <v>4.4000000000000004</v>
      </c>
      <c r="K978">
        <v>11499</v>
      </c>
      <c r="L978">
        <v>0.114879309621676</v>
      </c>
      <c r="M978" t="s">
        <v>18</v>
      </c>
    </row>
    <row r="979" spans="1:13" x14ac:dyDescent="0.3">
      <c r="A979" t="s">
        <v>2130</v>
      </c>
      <c r="B979" t="s">
        <v>2131</v>
      </c>
      <c r="C979" t="s">
        <v>1219</v>
      </c>
      <c r="D979" t="s">
        <v>1978</v>
      </c>
      <c r="E979">
        <v>1999</v>
      </c>
      <c r="F979">
        <v>799</v>
      </c>
      <c r="G979">
        <v>60</v>
      </c>
      <c r="H979">
        <v>1200</v>
      </c>
      <c r="I979" t="s">
        <v>64</v>
      </c>
      <c r="J979">
        <v>4.0999999999999996</v>
      </c>
      <c r="K979">
        <v>2162</v>
      </c>
      <c r="L979">
        <v>0.2199325017088174</v>
      </c>
      <c r="M979" t="s">
        <v>18</v>
      </c>
    </row>
    <row r="980" spans="1:13" x14ac:dyDescent="0.3">
      <c r="A980" t="s">
        <v>2132</v>
      </c>
      <c r="B980" t="s">
        <v>2133</v>
      </c>
      <c r="C980" t="s">
        <v>1219</v>
      </c>
      <c r="D980" t="s">
        <v>2134</v>
      </c>
      <c r="E980">
        <v>89</v>
      </c>
      <c r="F980">
        <v>89</v>
      </c>
      <c r="G980">
        <v>0</v>
      </c>
      <c r="H980">
        <v>0</v>
      </c>
      <c r="I980" t="s">
        <v>17</v>
      </c>
      <c r="J980">
        <v>4.2</v>
      </c>
      <c r="K980">
        <v>19621</v>
      </c>
      <c r="L980">
        <v>0.28660256410256407</v>
      </c>
      <c r="M980" t="s">
        <v>18</v>
      </c>
    </row>
    <row r="981" spans="1:13" x14ac:dyDescent="0.3">
      <c r="A981" t="s">
        <v>2135</v>
      </c>
      <c r="B981" t="s">
        <v>2136</v>
      </c>
      <c r="C981" t="s">
        <v>1219</v>
      </c>
      <c r="D981" t="s">
        <v>2137</v>
      </c>
      <c r="E981">
        <v>2485</v>
      </c>
      <c r="F981">
        <v>1400</v>
      </c>
      <c r="G981">
        <v>44</v>
      </c>
      <c r="H981">
        <v>1085</v>
      </c>
      <c r="I981" t="s">
        <v>64</v>
      </c>
      <c r="J981">
        <v>4.0999999999999996</v>
      </c>
      <c r="K981">
        <v>19998</v>
      </c>
      <c r="L981">
        <v>0.38797979797979798</v>
      </c>
      <c r="M981" t="s">
        <v>18</v>
      </c>
    </row>
    <row r="982" spans="1:13" x14ac:dyDescent="0.3">
      <c r="A982" t="s">
        <v>2138</v>
      </c>
      <c r="B982" t="s">
        <v>2139</v>
      </c>
      <c r="C982" t="s">
        <v>1219</v>
      </c>
      <c r="D982" t="s">
        <v>2048</v>
      </c>
      <c r="E982">
        <v>899</v>
      </c>
      <c r="F982">
        <v>355</v>
      </c>
      <c r="G982">
        <v>61</v>
      </c>
      <c r="H982">
        <v>544</v>
      </c>
      <c r="I982" t="s">
        <v>17</v>
      </c>
      <c r="J982">
        <v>4.0999999999999996</v>
      </c>
      <c r="K982">
        <v>1051</v>
      </c>
      <c r="L982">
        <v>0.36249999999999999</v>
      </c>
      <c r="M982" t="s">
        <v>18</v>
      </c>
    </row>
    <row r="983" spans="1:13" x14ac:dyDescent="0.3">
      <c r="A983" t="s">
        <v>2140</v>
      </c>
      <c r="B983" t="s">
        <v>2141</v>
      </c>
      <c r="C983" t="s">
        <v>1219</v>
      </c>
      <c r="D983" t="s">
        <v>1969</v>
      </c>
      <c r="E983">
        <v>3279</v>
      </c>
      <c r="F983">
        <v>2169</v>
      </c>
      <c r="G983">
        <v>34</v>
      </c>
      <c r="H983">
        <v>1110</v>
      </c>
      <c r="I983" t="s">
        <v>167</v>
      </c>
      <c r="J983">
        <v>4.0999999999999996</v>
      </c>
      <c r="K983">
        <v>1716</v>
      </c>
      <c r="L983">
        <v>0.42407407407407399</v>
      </c>
      <c r="M983" t="s">
        <v>18</v>
      </c>
    </row>
    <row r="984" spans="1:13" x14ac:dyDescent="0.3">
      <c r="A984" t="s">
        <v>2142</v>
      </c>
      <c r="B984" t="s">
        <v>2143</v>
      </c>
      <c r="C984" t="s">
        <v>1219</v>
      </c>
      <c r="D984" t="s">
        <v>2144</v>
      </c>
      <c r="E984">
        <v>3799</v>
      </c>
      <c r="F984">
        <v>2799</v>
      </c>
      <c r="G984">
        <v>26</v>
      </c>
      <c r="H984">
        <v>1000</v>
      </c>
      <c r="I984" t="s">
        <v>167</v>
      </c>
      <c r="J984">
        <v>3.9</v>
      </c>
      <c r="K984">
        <v>32931</v>
      </c>
      <c r="L984">
        <v>0.47135897435897428</v>
      </c>
      <c r="M984" t="s">
        <v>18</v>
      </c>
    </row>
    <row r="985" spans="1:13" x14ac:dyDescent="0.3">
      <c r="A985" t="s">
        <v>2145</v>
      </c>
      <c r="B985" t="s">
        <v>2146</v>
      </c>
      <c r="C985" t="s">
        <v>1219</v>
      </c>
      <c r="D985" t="s">
        <v>1966</v>
      </c>
      <c r="E985">
        <v>1249</v>
      </c>
      <c r="F985">
        <v>899</v>
      </c>
      <c r="G985">
        <v>28</v>
      </c>
      <c r="H985">
        <v>350</v>
      </c>
      <c r="I985" t="s">
        <v>64</v>
      </c>
      <c r="J985">
        <v>3.9</v>
      </c>
      <c r="K985">
        <v>17424</v>
      </c>
      <c r="L985">
        <v>0.25809228650137739</v>
      </c>
      <c r="M985" t="s">
        <v>18</v>
      </c>
    </row>
    <row r="986" spans="1:13" x14ac:dyDescent="0.3">
      <c r="A986" t="s">
        <v>2147</v>
      </c>
      <c r="B986" t="s">
        <v>2148</v>
      </c>
      <c r="C986" t="s">
        <v>1219</v>
      </c>
      <c r="D986" t="s">
        <v>2013</v>
      </c>
      <c r="E986">
        <v>5000</v>
      </c>
      <c r="F986">
        <v>2499</v>
      </c>
      <c r="G986">
        <v>50</v>
      </c>
      <c r="H986">
        <v>2501</v>
      </c>
      <c r="I986" t="s">
        <v>167</v>
      </c>
      <c r="J986">
        <v>3.8</v>
      </c>
      <c r="K986">
        <v>1889</v>
      </c>
      <c r="L986">
        <v>0.1278703703703703</v>
      </c>
      <c r="M986" t="s">
        <v>18</v>
      </c>
    </row>
    <row r="987" spans="1:13" x14ac:dyDescent="0.3">
      <c r="A987" t="s">
        <v>2149</v>
      </c>
      <c r="B987" t="s">
        <v>2150</v>
      </c>
      <c r="C987" t="s">
        <v>1219</v>
      </c>
      <c r="D987" t="s">
        <v>2010</v>
      </c>
      <c r="E987">
        <v>7299</v>
      </c>
      <c r="F987">
        <v>3599</v>
      </c>
      <c r="G987">
        <v>51</v>
      </c>
      <c r="H987">
        <v>3700</v>
      </c>
      <c r="I987" t="s">
        <v>167</v>
      </c>
      <c r="J987">
        <v>4</v>
      </c>
      <c r="K987">
        <v>10324</v>
      </c>
      <c r="L987">
        <v>0.33720238095238081</v>
      </c>
      <c r="M987" t="s">
        <v>18</v>
      </c>
    </row>
    <row r="988" spans="1:13" x14ac:dyDescent="0.3">
      <c r="A988" t="s">
        <v>2151</v>
      </c>
      <c r="B988" t="s">
        <v>2152</v>
      </c>
      <c r="C988" t="s">
        <v>1219</v>
      </c>
      <c r="D988" t="s">
        <v>2004</v>
      </c>
      <c r="E988">
        <v>625</v>
      </c>
      <c r="F988">
        <v>499</v>
      </c>
      <c r="G988">
        <v>20</v>
      </c>
      <c r="H988">
        <v>126</v>
      </c>
      <c r="I988" t="s">
        <v>17</v>
      </c>
      <c r="J988">
        <v>4.2</v>
      </c>
      <c r="K988">
        <v>5355</v>
      </c>
      <c r="L988">
        <v>0.54481481481481486</v>
      </c>
      <c r="M988" t="s">
        <v>18</v>
      </c>
    </row>
    <row r="989" spans="1:13" x14ac:dyDescent="0.3">
      <c r="A989" t="s">
        <v>2153</v>
      </c>
      <c r="B989" t="s">
        <v>2154</v>
      </c>
      <c r="C989" t="s">
        <v>1219</v>
      </c>
      <c r="D989" t="s">
        <v>2038</v>
      </c>
      <c r="E989">
        <v>1020</v>
      </c>
      <c r="F989">
        <v>653</v>
      </c>
      <c r="G989">
        <v>36</v>
      </c>
      <c r="H989">
        <v>367</v>
      </c>
      <c r="I989" t="s">
        <v>64</v>
      </c>
      <c r="J989">
        <v>4.0999999999999996</v>
      </c>
      <c r="K989">
        <v>3366</v>
      </c>
      <c r="L989">
        <v>0.51277777777777789</v>
      </c>
      <c r="M989" t="s">
        <v>18</v>
      </c>
    </row>
    <row r="990" spans="1:13" x14ac:dyDescent="0.3">
      <c r="A990" t="s">
        <v>2155</v>
      </c>
      <c r="B990" t="s">
        <v>2156</v>
      </c>
      <c r="C990" t="s">
        <v>1219</v>
      </c>
      <c r="D990" t="s">
        <v>2157</v>
      </c>
      <c r="E990">
        <v>8990</v>
      </c>
      <c r="F990">
        <v>4789</v>
      </c>
      <c r="G990">
        <v>47</v>
      </c>
      <c r="H990">
        <v>4201</v>
      </c>
      <c r="I990" t="s">
        <v>167</v>
      </c>
      <c r="J990">
        <v>4.3</v>
      </c>
      <c r="K990">
        <v>1017</v>
      </c>
      <c r="L990">
        <v>0.21724637681159409</v>
      </c>
      <c r="M990" t="s">
        <v>18</v>
      </c>
    </row>
    <row r="991" spans="1:13" x14ac:dyDescent="0.3">
      <c r="A991" t="s">
        <v>2158</v>
      </c>
      <c r="B991" t="s">
        <v>2159</v>
      </c>
      <c r="C991" t="s">
        <v>1219</v>
      </c>
      <c r="D991" t="s">
        <v>2160</v>
      </c>
      <c r="E991">
        <v>1639</v>
      </c>
      <c r="F991">
        <v>1409</v>
      </c>
      <c r="G991">
        <v>14</v>
      </c>
      <c r="H991">
        <v>230</v>
      </c>
      <c r="I991" t="s">
        <v>64</v>
      </c>
      <c r="J991">
        <v>3.7</v>
      </c>
      <c r="K991">
        <v>787</v>
      </c>
      <c r="L991">
        <v>0.1151545454545454</v>
      </c>
      <c r="M991" t="s">
        <v>18</v>
      </c>
    </row>
    <row r="992" spans="1:13" x14ac:dyDescent="0.3">
      <c r="A992" t="s">
        <v>2161</v>
      </c>
      <c r="B992" t="s">
        <v>2162</v>
      </c>
      <c r="C992" t="s">
        <v>1219</v>
      </c>
      <c r="D992" t="s">
        <v>2001</v>
      </c>
      <c r="E992">
        <v>899</v>
      </c>
      <c r="F992">
        <v>753</v>
      </c>
      <c r="G992">
        <v>16</v>
      </c>
      <c r="H992">
        <v>146</v>
      </c>
      <c r="I992" t="s">
        <v>64</v>
      </c>
      <c r="J992">
        <v>4.2</v>
      </c>
      <c r="K992">
        <v>18462</v>
      </c>
      <c r="L992">
        <v>0.30380952380952381</v>
      </c>
      <c r="M992" t="s">
        <v>18</v>
      </c>
    </row>
    <row r="993" spans="1:13" x14ac:dyDescent="0.3">
      <c r="A993" t="s">
        <v>2163</v>
      </c>
      <c r="B993" t="s">
        <v>2164</v>
      </c>
      <c r="C993" t="s">
        <v>1219</v>
      </c>
      <c r="D993" t="s">
        <v>2080</v>
      </c>
      <c r="E993">
        <v>1199</v>
      </c>
      <c r="F993">
        <v>353</v>
      </c>
      <c r="G993">
        <v>71</v>
      </c>
      <c r="H993">
        <v>846</v>
      </c>
      <c r="I993" t="s">
        <v>17</v>
      </c>
      <c r="J993">
        <v>4.3</v>
      </c>
      <c r="K993">
        <v>629</v>
      </c>
      <c r="L993">
        <v>0.40111111111111108</v>
      </c>
      <c r="M993" t="s">
        <v>18</v>
      </c>
    </row>
    <row r="994" spans="1:13" x14ac:dyDescent="0.3">
      <c r="A994" t="s">
        <v>2165</v>
      </c>
      <c r="B994" t="s">
        <v>2166</v>
      </c>
      <c r="C994" t="s">
        <v>1219</v>
      </c>
      <c r="D994" t="s">
        <v>1978</v>
      </c>
      <c r="E994">
        <v>1899</v>
      </c>
      <c r="F994">
        <v>1099</v>
      </c>
      <c r="G994">
        <v>42</v>
      </c>
      <c r="H994">
        <v>800</v>
      </c>
      <c r="I994" t="s">
        <v>64</v>
      </c>
      <c r="J994">
        <v>4.3</v>
      </c>
      <c r="K994">
        <v>15276</v>
      </c>
      <c r="L994">
        <v>0.19740151515151511</v>
      </c>
      <c r="M994" t="s">
        <v>18</v>
      </c>
    </row>
    <row r="995" spans="1:13" x14ac:dyDescent="0.3">
      <c r="A995" t="s">
        <v>2167</v>
      </c>
      <c r="B995" t="s">
        <v>2168</v>
      </c>
      <c r="C995" t="s">
        <v>1219</v>
      </c>
      <c r="D995" t="s">
        <v>2045</v>
      </c>
      <c r="E995">
        <v>11595</v>
      </c>
      <c r="F995">
        <v>8799</v>
      </c>
      <c r="G995">
        <v>24</v>
      </c>
      <c r="H995">
        <v>2796</v>
      </c>
      <c r="I995" t="s">
        <v>55</v>
      </c>
      <c r="J995">
        <v>4.4000000000000004</v>
      </c>
      <c r="K995">
        <v>2981</v>
      </c>
      <c r="L995">
        <v>0.3594345238095239</v>
      </c>
      <c r="M995" t="s">
        <v>18</v>
      </c>
    </row>
    <row r="996" spans="1:13" x14ac:dyDescent="0.3">
      <c r="A996" t="s">
        <v>2169</v>
      </c>
      <c r="B996" t="s">
        <v>2170</v>
      </c>
      <c r="C996" t="s">
        <v>1219</v>
      </c>
      <c r="D996" t="s">
        <v>1966</v>
      </c>
      <c r="E996">
        <v>1750</v>
      </c>
      <c r="F996">
        <v>1345</v>
      </c>
      <c r="G996">
        <v>23</v>
      </c>
      <c r="H996">
        <v>405</v>
      </c>
      <c r="I996" t="s">
        <v>64</v>
      </c>
      <c r="J996">
        <v>3.8</v>
      </c>
      <c r="K996">
        <v>2466</v>
      </c>
      <c r="L996">
        <v>0.2722222222222222</v>
      </c>
      <c r="M996" t="s">
        <v>18</v>
      </c>
    </row>
    <row r="997" spans="1:13" x14ac:dyDescent="0.3">
      <c r="A997" t="s">
        <v>2171</v>
      </c>
      <c r="B997" t="s">
        <v>2172</v>
      </c>
      <c r="C997" t="s">
        <v>1219</v>
      </c>
      <c r="D997" t="s">
        <v>2173</v>
      </c>
      <c r="E997">
        <v>2095</v>
      </c>
      <c r="F997">
        <v>2095</v>
      </c>
      <c r="G997">
        <v>0</v>
      </c>
      <c r="H997">
        <v>0</v>
      </c>
      <c r="I997" t="s">
        <v>167</v>
      </c>
      <c r="J997">
        <v>4.5</v>
      </c>
      <c r="K997">
        <v>7949</v>
      </c>
      <c r="L997">
        <v>0.30681818181818182</v>
      </c>
      <c r="M997" t="s">
        <v>18</v>
      </c>
    </row>
    <row r="998" spans="1:13" x14ac:dyDescent="0.3">
      <c r="A998" t="s">
        <v>2174</v>
      </c>
      <c r="B998" t="s">
        <v>2175</v>
      </c>
      <c r="C998" t="s">
        <v>1219</v>
      </c>
      <c r="D998" t="s">
        <v>1969</v>
      </c>
      <c r="E998">
        <v>2300</v>
      </c>
      <c r="F998">
        <v>1498</v>
      </c>
      <c r="G998">
        <v>35</v>
      </c>
      <c r="H998">
        <v>802</v>
      </c>
      <c r="I998" t="s">
        <v>64</v>
      </c>
      <c r="J998">
        <v>3.8</v>
      </c>
      <c r="K998">
        <v>95</v>
      </c>
      <c r="L998">
        <v>0.24499999999999991</v>
      </c>
      <c r="M998" t="s">
        <v>18</v>
      </c>
    </row>
    <row r="999" spans="1:13" x14ac:dyDescent="0.3">
      <c r="A999" t="s">
        <v>2176</v>
      </c>
      <c r="B999" t="s">
        <v>2177</v>
      </c>
      <c r="C999" t="s">
        <v>1219</v>
      </c>
      <c r="D999" t="s">
        <v>2178</v>
      </c>
      <c r="E999">
        <v>2990</v>
      </c>
      <c r="F999">
        <v>2199</v>
      </c>
      <c r="G999">
        <v>26</v>
      </c>
      <c r="H999">
        <v>791</v>
      </c>
      <c r="I999" t="s">
        <v>167</v>
      </c>
      <c r="J999">
        <v>3.8</v>
      </c>
      <c r="K999">
        <v>1558</v>
      </c>
      <c r="L999">
        <v>8.7455379378456294E-2</v>
      </c>
      <c r="M999" t="s">
        <v>103</v>
      </c>
    </row>
    <row r="1000" spans="1:13" x14ac:dyDescent="0.3">
      <c r="A1000" t="s">
        <v>2179</v>
      </c>
      <c r="B1000" t="s">
        <v>2180</v>
      </c>
      <c r="C1000" t="s">
        <v>1219</v>
      </c>
      <c r="D1000" t="s">
        <v>2007</v>
      </c>
      <c r="E1000">
        <v>4295</v>
      </c>
      <c r="F1000">
        <v>3699</v>
      </c>
      <c r="G1000">
        <v>14</v>
      </c>
      <c r="H1000">
        <v>596</v>
      </c>
      <c r="I1000" t="s">
        <v>167</v>
      </c>
      <c r="J1000">
        <v>4.0999999999999996</v>
      </c>
      <c r="K1000">
        <v>26543</v>
      </c>
      <c r="L1000">
        <v>0.12152777777777771</v>
      </c>
      <c r="M1000" t="s">
        <v>18</v>
      </c>
    </row>
    <row r="1001" spans="1:13" x14ac:dyDescent="0.3">
      <c r="A1001" t="s">
        <v>2181</v>
      </c>
      <c r="B1001" t="s">
        <v>2182</v>
      </c>
      <c r="C1001" t="s">
        <v>1219</v>
      </c>
      <c r="D1001" t="s">
        <v>2048</v>
      </c>
      <c r="E1001">
        <v>199</v>
      </c>
      <c r="F1001">
        <v>177</v>
      </c>
      <c r="G1001">
        <v>11</v>
      </c>
      <c r="H1001">
        <v>22</v>
      </c>
      <c r="I1001" t="s">
        <v>17</v>
      </c>
      <c r="J1001">
        <v>4.0999999999999996</v>
      </c>
      <c r="K1001">
        <v>3688</v>
      </c>
      <c r="L1001">
        <v>0.1541059981684981</v>
      </c>
      <c r="M1001" t="s">
        <v>18</v>
      </c>
    </row>
    <row r="1002" spans="1:13" x14ac:dyDescent="0.3">
      <c r="A1002" t="s">
        <v>2183</v>
      </c>
      <c r="B1002" t="s">
        <v>2184</v>
      </c>
      <c r="C1002" t="s">
        <v>1219</v>
      </c>
      <c r="D1002" t="s">
        <v>2007</v>
      </c>
      <c r="E1002">
        <v>2499</v>
      </c>
      <c r="F1002">
        <v>1149</v>
      </c>
      <c r="G1002">
        <v>54</v>
      </c>
      <c r="H1002">
        <v>1350</v>
      </c>
      <c r="I1002" t="s">
        <v>64</v>
      </c>
      <c r="J1002">
        <v>3.8</v>
      </c>
      <c r="K1002">
        <v>4383</v>
      </c>
      <c r="L1002">
        <v>0.2348717948717948</v>
      </c>
      <c r="M1002" t="s">
        <v>18</v>
      </c>
    </row>
    <row r="1003" spans="1:13" x14ac:dyDescent="0.3">
      <c r="A1003" t="s">
        <v>2185</v>
      </c>
      <c r="B1003" t="s">
        <v>2186</v>
      </c>
      <c r="C1003" t="s">
        <v>1219</v>
      </c>
      <c r="D1003" t="s">
        <v>2187</v>
      </c>
      <c r="E1003">
        <v>499</v>
      </c>
      <c r="F1003">
        <v>244</v>
      </c>
      <c r="G1003">
        <v>51</v>
      </c>
      <c r="H1003">
        <v>255</v>
      </c>
      <c r="I1003" t="s">
        <v>17</v>
      </c>
      <c r="J1003">
        <v>3.3</v>
      </c>
      <c r="K1003">
        <v>478</v>
      </c>
      <c r="L1003">
        <v>8.7499999999999994E-2</v>
      </c>
      <c r="M1003" t="s">
        <v>103</v>
      </c>
    </row>
    <row r="1004" spans="1:13" x14ac:dyDescent="0.3">
      <c r="A1004" t="s">
        <v>2188</v>
      </c>
      <c r="B1004" t="s">
        <v>2189</v>
      </c>
      <c r="C1004" t="s">
        <v>1219</v>
      </c>
      <c r="D1004" t="s">
        <v>1969</v>
      </c>
      <c r="E1004">
        <v>2400</v>
      </c>
      <c r="F1004">
        <v>1959</v>
      </c>
      <c r="G1004">
        <v>18</v>
      </c>
      <c r="H1004">
        <v>441</v>
      </c>
      <c r="I1004" t="s">
        <v>167</v>
      </c>
      <c r="J1004">
        <v>4</v>
      </c>
      <c r="K1004">
        <v>237</v>
      </c>
      <c r="L1004">
        <v>0.35839002267573689</v>
      </c>
      <c r="M1004" t="s">
        <v>18</v>
      </c>
    </row>
    <row r="1005" spans="1:13" x14ac:dyDescent="0.3">
      <c r="A1005" t="s">
        <v>2190</v>
      </c>
      <c r="B1005" t="s">
        <v>2191</v>
      </c>
      <c r="C1005" t="s">
        <v>1219</v>
      </c>
      <c r="D1005" t="s">
        <v>1975</v>
      </c>
      <c r="E1005">
        <v>749</v>
      </c>
      <c r="F1005">
        <v>319</v>
      </c>
      <c r="G1005">
        <v>57</v>
      </c>
      <c r="H1005">
        <v>430</v>
      </c>
      <c r="I1005" t="s">
        <v>17</v>
      </c>
      <c r="J1005">
        <v>4.5999999999999996</v>
      </c>
      <c r="K1005">
        <v>124</v>
      </c>
      <c r="L1005">
        <v>0.2284511784511784</v>
      </c>
      <c r="M1005" t="s">
        <v>18</v>
      </c>
    </row>
    <row r="1006" spans="1:13" x14ac:dyDescent="0.3">
      <c r="A1006" t="s">
        <v>2192</v>
      </c>
      <c r="B1006" t="s">
        <v>2193</v>
      </c>
      <c r="C1006" t="s">
        <v>1219</v>
      </c>
      <c r="D1006" t="s">
        <v>1966</v>
      </c>
      <c r="E1006">
        <v>1775</v>
      </c>
      <c r="F1006">
        <v>1499</v>
      </c>
      <c r="G1006">
        <v>16</v>
      </c>
      <c r="H1006">
        <v>276</v>
      </c>
      <c r="I1006" t="s">
        <v>64</v>
      </c>
      <c r="J1006">
        <v>3.9</v>
      </c>
      <c r="K1006">
        <v>14667</v>
      </c>
      <c r="L1006">
        <v>0.34462239583333332</v>
      </c>
      <c r="M1006" t="s">
        <v>18</v>
      </c>
    </row>
    <row r="1007" spans="1:13" x14ac:dyDescent="0.3">
      <c r="A1007" t="s">
        <v>2194</v>
      </c>
      <c r="B1007" t="s">
        <v>2195</v>
      </c>
      <c r="C1007" t="s">
        <v>1219</v>
      </c>
      <c r="D1007" t="s">
        <v>1975</v>
      </c>
      <c r="E1007">
        <v>1599</v>
      </c>
      <c r="F1007">
        <v>469</v>
      </c>
      <c r="G1007">
        <v>71</v>
      </c>
      <c r="H1007">
        <v>1130</v>
      </c>
      <c r="I1007" t="s">
        <v>17</v>
      </c>
      <c r="J1007">
        <v>3.7</v>
      </c>
      <c r="K1007">
        <v>6</v>
      </c>
      <c r="L1007">
        <v>0.17499999999999999</v>
      </c>
      <c r="M1007" t="s">
        <v>18</v>
      </c>
    </row>
    <row r="1008" spans="1:13" x14ac:dyDescent="0.3">
      <c r="A1008" t="s">
        <v>2196</v>
      </c>
      <c r="B1008" t="s">
        <v>2197</v>
      </c>
      <c r="C1008" t="s">
        <v>1219</v>
      </c>
      <c r="D1008" t="s">
        <v>2173</v>
      </c>
      <c r="E1008">
        <v>1795</v>
      </c>
      <c r="F1008">
        <v>1099</v>
      </c>
      <c r="G1008">
        <v>39</v>
      </c>
      <c r="H1008">
        <v>696</v>
      </c>
      <c r="I1008" t="s">
        <v>64</v>
      </c>
      <c r="J1008">
        <v>4.2</v>
      </c>
      <c r="K1008">
        <v>4244</v>
      </c>
      <c r="L1008">
        <v>6.25E-2</v>
      </c>
      <c r="M1008" t="s">
        <v>103</v>
      </c>
    </row>
    <row r="1009" spans="1:13" x14ac:dyDescent="0.3">
      <c r="A1009" t="s">
        <v>2198</v>
      </c>
      <c r="B1009" t="s">
        <v>2199</v>
      </c>
      <c r="C1009" t="s">
        <v>1219</v>
      </c>
      <c r="D1009" t="s">
        <v>1972</v>
      </c>
      <c r="E1009">
        <v>15999</v>
      </c>
      <c r="F1009">
        <v>9590</v>
      </c>
      <c r="G1009">
        <v>40</v>
      </c>
      <c r="H1009">
        <v>6409</v>
      </c>
      <c r="I1009" t="s">
        <v>55</v>
      </c>
      <c r="J1009">
        <v>4.0999999999999996</v>
      </c>
      <c r="K1009">
        <v>1017</v>
      </c>
      <c r="L1009">
        <v>0.24332415059687779</v>
      </c>
      <c r="M1009" t="s">
        <v>18</v>
      </c>
    </row>
    <row r="1010" spans="1:13" x14ac:dyDescent="0.3">
      <c r="A1010" t="s">
        <v>2200</v>
      </c>
      <c r="B1010" t="s">
        <v>2201</v>
      </c>
      <c r="C1010" t="s">
        <v>1219</v>
      </c>
      <c r="D1010" t="s">
        <v>2202</v>
      </c>
      <c r="E1010">
        <v>1490</v>
      </c>
      <c r="F1010">
        <v>999</v>
      </c>
      <c r="G1010">
        <v>33</v>
      </c>
      <c r="H1010">
        <v>491</v>
      </c>
      <c r="I1010" t="s">
        <v>64</v>
      </c>
      <c r="J1010">
        <v>4.0999999999999996</v>
      </c>
      <c r="K1010">
        <v>12999</v>
      </c>
      <c r="L1010">
        <v>0.13490196078431371</v>
      </c>
      <c r="M1010" t="s">
        <v>18</v>
      </c>
    </row>
    <row r="1011" spans="1:13" x14ac:dyDescent="0.3">
      <c r="A1011" t="s">
        <v>2203</v>
      </c>
      <c r="B1011" t="s">
        <v>2204</v>
      </c>
      <c r="C1011" t="s">
        <v>1219</v>
      </c>
      <c r="D1011" t="s">
        <v>2020</v>
      </c>
      <c r="E1011">
        <v>1999</v>
      </c>
      <c r="F1011">
        <v>1299</v>
      </c>
      <c r="G1011">
        <v>35</v>
      </c>
      <c r="H1011">
        <v>700</v>
      </c>
      <c r="I1011" t="s">
        <v>64</v>
      </c>
      <c r="J1011">
        <v>3.8</v>
      </c>
      <c r="K1011">
        <v>311</v>
      </c>
      <c r="L1011">
        <v>0.19239247311827959</v>
      </c>
      <c r="M1011" t="s">
        <v>18</v>
      </c>
    </row>
    <row r="1012" spans="1:13" x14ac:dyDescent="0.3">
      <c r="A1012" t="s">
        <v>2205</v>
      </c>
      <c r="B1012" t="s">
        <v>2206</v>
      </c>
      <c r="C1012" t="s">
        <v>1219</v>
      </c>
      <c r="D1012" t="s">
        <v>2207</v>
      </c>
      <c r="E1012">
        <v>499</v>
      </c>
      <c r="F1012">
        <v>292</v>
      </c>
      <c r="G1012">
        <v>41</v>
      </c>
      <c r="H1012">
        <v>207</v>
      </c>
      <c r="I1012" t="s">
        <v>17</v>
      </c>
      <c r="J1012">
        <v>4.0999999999999996</v>
      </c>
      <c r="K1012">
        <v>4238</v>
      </c>
      <c r="L1012">
        <v>0.2159897292250233</v>
      </c>
      <c r="M1012" t="s">
        <v>18</v>
      </c>
    </row>
    <row r="1013" spans="1:13" x14ac:dyDescent="0.3">
      <c r="A1013" t="s">
        <v>2208</v>
      </c>
      <c r="B1013" t="s">
        <v>2209</v>
      </c>
      <c r="C1013" t="s">
        <v>1219</v>
      </c>
      <c r="D1013" t="s">
        <v>2134</v>
      </c>
      <c r="E1013">
        <v>299</v>
      </c>
      <c r="F1013">
        <v>160</v>
      </c>
      <c r="G1013">
        <v>46</v>
      </c>
      <c r="H1013">
        <v>139</v>
      </c>
      <c r="I1013" t="s">
        <v>17</v>
      </c>
      <c r="J1013">
        <v>4.5999999999999996</v>
      </c>
      <c r="K1013">
        <v>2781</v>
      </c>
      <c r="L1013">
        <v>0.25104166666666661</v>
      </c>
      <c r="M1013" t="s">
        <v>18</v>
      </c>
    </row>
    <row r="1014" spans="1:13" x14ac:dyDescent="0.3">
      <c r="A1014" t="s">
        <v>2210</v>
      </c>
      <c r="B1014" t="s">
        <v>2211</v>
      </c>
      <c r="C1014" t="s">
        <v>1219</v>
      </c>
      <c r="D1014" t="s">
        <v>2212</v>
      </c>
      <c r="E1014">
        <v>600</v>
      </c>
      <c r="F1014">
        <v>600</v>
      </c>
      <c r="G1014">
        <v>0</v>
      </c>
      <c r="H1014">
        <v>0</v>
      </c>
      <c r="I1014" t="s">
        <v>64</v>
      </c>
      <c r="J1014">
        <v>4.0999999999999996</v>
      </c>
      <c r="K1014">
        <v>10907</v>
      </c>
      <c r="L1014">
        <v>0.13492063492063491</v>
      </c>
      <c r="M1014" t="s">
        <v>18</v>
      </c>
    </row>
    <row r="1015" spans="1:13" x14ac:dyDescent="0.3">
      <c r="A1015" t="s">
        <v>2213</v>
      </c>
      <c r="B1015" t="s">
        <v>2214</v>
      </c>
      <c r="C1015" t="s">
        <v>1219</v>
      </c>
      <c r="D1015" t="s">
        <v>2215</v>
      </c>
      <c r="E1015">
        <v>1130</v>
      </c>
      <c r="F1015">
        <v>1130</v>
      </c>
      <c r="G1015">
        <v>0</v>
      </c>
      <c r="H1015">
        <v>0</v>
      </c>
      <c r="I1015" t="s">
        <v>64</v>
      </c>
      <c r="J1015">
        <v>4.2</v>
      </c>
      <c r="K1015">
        <v>13250</v>
      </c>
      <c r="L1015">
        <v>0.21666666666666659</v>
      </c>
      <c r="M1015" t="s">
        <v>18</v>
      </c>
    </row>
    <row r="1016" spans="1:13" x14ac:dyDescent="0.3">
      <c r="A1016" t="s">
        <v>2216</v>
      </c>
      <c r="B1016" t="s">
        <v>2217</v>
      </c>
      <c r="C1016" t="s">
        <v>1219</v>
      </c>
      <c r="D1016" t="s">
        <v>2007</v>
      </c>
      <c r="E1016">
        <v>6295</v>
      </c>
      <c r="F1016">
        <v>3249</v>
      </c>
      <c r="G1016">
        <v>48</v>
      </c>
      <c r="H1016">
        <v>3046</v>
      </c>
      <c r="I1016" t="s">
        <v>167</v>
      </c>
      <c r="J1016">
        <v>3.9</v>
      </c>
      <c r="K1016">
        <v>43070</v>
      </c>
      <c r="L1016">
        <v>5.2777777777777701E-2</v>
      </c>
      <c r="M1016" t="s">
        <v>103</v>
      </c>
    </row>
    <row r="1017" spans="1:13" x14ac:dyDescent="0.3">
      <c r="A1017" t="s">
        <v>2218</v>
      </c>
      <c r="B1017" t="s">
        <v>2219</v>
      </c>
      <c r="C1017" t="s">
        <v>1219</v>
      </c>
      <c r="D1017" t="s">
        <v>2007</v>
      </c>
      <c r="E1017">
        <v>9455</v>
      </c>
      <c r="F1017">
        <v>3599</v>
      </c>
      <c r="G1017">
        <v>62</v>
      </c>
      <c r="H1017">
        <v>5856</v>
      </c>
      <c r="I1017" t="s">
        <v>167</v>
      </c>
      <c r="J1017">
        <v>4.0999999999999996</v>
      </c>
      <c r="K1017">
        <v>11828</v>
      </c>
      <c r="L1017">
        <v>0.5083333333333333</v>
      </c>
      <c r="M1017" t="s">
        <v>18</v>
      </c>
    </row>
    <row r="1018" spans="1:13" x14ac:dyDescent="0.3">
      <c r="A1018" t="s">
        <v>2220</v>
      </c>
      <c r="B1018" t="s">
        <v>2221</v>
      </c>
      <c r="C1018" t="s">
        <v>1219</v>
      </c>
      <c r="D1018" t="s">
        <v>2080</v>
      </c>
      <c r="E1018">
        <v>699</v>
      </c>
      <c r="F1018">
        <v>368</v>
      </c>
      <c r="G1018">
        <v>47</v>
      </c>
      <c r="H1018">
        <v>331</v>
      </c>
      <c r="I1018" t="s">
        <v>17</v>
      </c>
      <c r="J1018">
        <v>4.0999999999999996</v>
      </c>
      <c r="K1018">
        <v>1240</v>
      </c>
      <c r="L1018">
        <v>0.26547619047619048</v>
      </c>
      <c r="M1018" t="s">
        <v>18</v>
      </c>
    </row>
    <row r="1019" spans="1:13" x14ac:dyDescent="0.3">
      <c r="A1019" t="s">
        <v>2222</v>
      </c>
      <c r="B1019" t="s">
        <v>2223</v>
      </c>
      <c r="C1019" t="s">
        <v>1219</v>
      </c>
      <c r="D1019" t="s">
        <v>2007</v>
      </c>
      <c r="E1019">
        <v>4999</v>
      </c>
      <c r="F1019">
        <v>3199</v>
      </c>
      <c r="G1019">
        <v>36</v>
      </c>
      <c r="H1019">
        <v>1800</v>
      </c>
      <c r="I1019" t="s">
        <v>167</v>
      </c>
      <c r="J1019">
        <v>4</v>
      </c>
      <c r="K1019">
        <v>20869</v>
      </c>
      <c r="L1019">
        <v>0.3666666666666667</v>
      </c>
      <c r="M1019" t="s">
        <v>18</v>
      </c>
    </row>
    <row r="1020" spans="1:13" x14ac:dyDescent="0.3">
      <c r="A1020" t="s">
        <v>2224</v>
      </c>
      <c r="B1020" t="s">
        <v>2225</v>
      </c>
      <c r="C1020" t="s">
        <v>1219</v>
      </c>
      <c r="D1020" t="s">
        <v>2226</v>
      </c>
      <c r="E1020">
        <v>2900</v>
      </c>
      <c r="F1020">
        <v>1599</v>
      </c>
      <c r="G1020">
        <v>45</v>
      </c>
      <c r="H1020">
        <v>1301</v>
      </c>
      <c r="I1020" t="s">
        <v>167</v>
      </c>
      <c r="J1020">
        <v>3.7</v>
      </c>
      <c r="K1020">
        <v>441</v>
      </c>
      <c r="L1020">
        <v>0.23916666666666669</v>
      </c>
      <c r="M1020" t="s">
        <v>18</v>
      </c>
    </row>
    <row r="1021" spans="1:13" x14ac:dyDescent="0.3">
      <c r="A1021" t="s">
        <v>2227</v>
      </c>
      <c r="B1021" t="s">
        <v>2228</v>
      </c>
      <c r="C1021" t="s">
        <v>1219</v>
      </c>
      <c r="D1021" t="s">
        <v>2001</v>
      </c>
      <c r="E1021">
        <v>2499</v>
      </c>
      <c r="F1021">
        <v>1999</v>
      </c>
      <c r="G1021">
        <v>20</v>
      </c>
      <c r="H1021">
        <v>500</v>
      </c>
      <c r="I1021" t="s">
        <v>167</v>
      </c>
      <c r="J1021">
        <v>4.0999999999999996</v>
      </c>
      <c r="K1021">
        <v>1034</v>
      </c>
      <c r="L1021">
        <v>0.22849462365591389</v>
      </c>
      <c r="M1021" t="s">
        <v>18</v>
      </c>
    </row>
    <row r="1022" spans="1:13" x14ac:dyDescent="0.3">
      <c r="A1022" t="s">
        <v>2229</v>
      </c>
      <c r="B1022" t="s">
        <v>2230</v>
      </c>
      <c r="C1022" t="s">
        <v>1219</v>
      </c>
      <c r="D1022" t="s">
        <v>2004</v>
      </c>
      <c r="E1022">
        <v>1190</v>
      </c>
      <c r="F1022">
        <v>616</v>
      </c>
      <c r="G1022">
        <v>48</v>
      </c>
      <c r="H1022">
        <v>574</v>
      </c>
      <c r="I1022" t="s">
        <v>64</v>
      </c>
      <c r="J1022">
        <v>4.0999999999999996</v>
      </c>
      <c r="K1022">
        <v>37126</v>
      </c>
      <c r="L1022">
        <v>0.25181159420289861</v>
      </c>
      <c r="M1022" t="s">
        <v>18</v>
      </c>
    </row>
    <row r="1023" spans="1:13" x14ac:dyDescent="0.3">
      <c r="A1023" t="s">
        <v>2231</v>
      </c>
      <c r="B1023" t="s">
        <v>2232</v>
      </c>
      <c r="C1023" t="s">
        <v>1219</v>
      </c>
      <c r="D1023" t="s">
        <v>2001</v>
      </c>
      <c r="E1023">
        <v>2100</v>
      </c>
      <c r="F1023">
        <v>1499</v>
      </c>
      <c r="G1023">
        <v>29</v>
      </c>
      <c r="H1023">
        <v>601</v>
      </c>
      <c r="I1023" t="s">
        <v>64</v>
      </c>
      <c r="J1023">
        <v>4.0999999999999996</v>
      </c>
      <c r="K1023">
        <v>6355</v>
      </c>
      <c r="L1023">
        <v>0.30625000000000002</v>
      </c>
      <c r="M1023" t="s">
        <v>18</v>
      </c>
    </row>
    <row r="1024" spans="1:13" x14ac:dyDescent="0.3">
      <c r="A1024" t="s">
        <v>2233</v>
      </c>
      <c r="B1024" t="s">
        <v>2234</v>
      </c>
      <c r="C1024" t="s">
        <v>1219</v>
      </c>
      <c r="D1024" t="s">
        <v>2134</v>
      </c>
      <c r="E1024">
        <v>499</v>
      </c>
      <c r="F1024">
        <v>199</v>
      </c>
      <c r="G1024">
        <v>60</v>
      </c>
      <c r="H1024">
        <v>300</v>
      </c>
      <c r="I1024" t="s">
        <v>17</v>
      </c>
      <c r="J1024">
        <v>3.3</v>
      </c>
      <c r="K1024">
        <v>12</v>
      </c>
      <c r="L1024">
        <v>0.13</v>
      </c>
      <c r="M1024" t="s">
        <v>18</v>
      </c>
    </row>
    <row r="1025" spans="1:13" x14ac:dyDescent="0.3">
      <c r="A1025" t="s">
        <v>2235</v>
      </c>
      <c r="B1025" t="s">
        <v>2236</v>
      </c>
      <c r="C1025" t="s">
        <v>1219</v>
      </c>
      <c r="D1025" t="s">
        <v>2038</v>
      </c>
      <c r="E1025">
        <v>825</v>
      </c>
      <c r="F1025">
        <v>610</v>
      </c>
      <c r="G1025">
        <v>26</v>
      </c>
      <c r="H1025">
        <v>215</v>
      </c>
      <c r="I1025" t="s">
        <v>64</v>
      </c>
      <c r="J1025">
        <v>4.0999999999999996</v>
      </c>
      <c r="K1025">
        <v>13165</v>
      </c>
      <c r="L1025">
        <v>9.4736842105263105E-2</v>
      </c>
      <c r="M1025" t="s">
        <v>103</v>
      </c>
    </row>
    <row r="1026" spans="1:13" x14ac:dyDescent="0.3">
      <c r="A1026" t="s">
        <v>2237</v>
      </c>
      <c r="B1026" t="s">
        <v>2238</v>
      </c>
      <c r="C1026" t="s">
        <v>1219</v>
      </c>
      <c r="D1026" t="s">
        <v>2114</v>
      </c>
      <c r="E1026">
        <v>1499</v>
      </c>
      <c r="F1026">
        <v>999</v>
      </c>
      <c r="G1026">
        <v>33</v>
      </c>
      <c r="H1026">
        <v>500</v>
      </c>
      <c r="I1026" t="s">
        <v>64</v>
      </c>
      <c r="J1026">
        <v>4.0999999999999996</v>
      </c>
      <c r="K1026">
        <v>1646</v>
      </c>
      <c r="L1026">
        <v>0.18484848484848479</v>
      </c>
      <c r="M1026" t="s">
        <v>18</v>
      </c>
    </row>
    <row r="1027" spans="1:13" x14ac:dyDescent="0.3">
      <c r="A1027" t="s">
        <v>2239</v>
      </c>
      <c r="B1027" t="s">
        <v>2240</v>
      </c>
      <c r="C1027" t="s">
        <v>1219</v>
      </c>
      <c r="D1027" t="s">
        <v>2144</v>
      </c>
      <c r="E1027">
        <v>9995</v>
      </c>
      <c r="F1027">
        <v>8999</v>
      </c>
      <c r="G1027">
        <v>10</v>
      </c>
      <c r="H1027">
        <v>996</v>
      </c>
      <c r="I1027" t="s">
        <v>55</v>
      </c>
      <c r="J1027">
        <v>4.4000000000000004</v>
      </c>
      <c r="K1027">
        <v>17994</v>
      </c>
      <c r="L1027">
        <v>0.18756178287731681</v>
      </c>
      <c r="M1027" t="s">
        <v>18</v>
      </c>
    </row>
    <row r="1028" spans="1:13" x14ac:dyDescent="0.3">
      <c r="A1028" t="s">
        <v>2241</v>
      </c>
      <c r="B1028" t="s">
        <v>2242</v>
      </c>
      <c r="C1028" t="s">
        <v>1219</v>
      </c>
      <c r="D1028" t="s">
        <v>1975</v>
      </c>
      <c r="E1028">
        <v>999</v>
      </c>
      <c r="F1028">
        <v>453</v>
      </c>
      <c r="G1028">
        <v>55</v>
      </c>
      <c r="H1028">
        <v>546</v>
      </c>
      <c r="I1028" t="s">
        <v>17</v>
      </c>
      <c r="J1028">
        <v>4.3</v>
      </c>
      <c r="K1028">
        <v>610</v>
      </c>
      <c r="L1028">
        <v>0.46400432900432909</v>
      </c>
      <c r="M1028" t="s">
        <v>18</v>
      </c>
    </row>
    <row r="1029" spans="1:13" x14ac:dyDescent="0.3">
      <c r="A1029" t="s">
        <v>2243</v>
      </c>
      <c r="B1029" t="s">
        <v>2244</v>
      </c>
      <c r="C1029" t="s">
        <v>1219</v>
      </c>
      <c r="D1029" t="s">
        <v>2007</v>
      </c>
      <c r="E1029">
        <v>6000</v>
      </c>
      <c r="F1029">
        <v>2464</v>
      </c>
      <c r="G1029">
        <v>59</v>
      </c>
      <c r="H1029">
        <v>3536</v>
      </c>
      <c r="I1029" t="s">
        <v>167</v>
      </c>
      <c r="J1029">
        <v>4.0999999999999996</v>
      </c>
      <c r="K1029">
        <v>8866</v>
      </c>
      <c r="L1029">
        <v>0.33519841269841272</v>
      </c>
      <c r="M1029" t="s">
        <v>18</v>
      </c>
    </row>
    <row r="1030" spans="1:13" x14ac:dyDescent="0.3">
      <c r="A1030" t="s">
        <v>2245</v>
      </c>
      <c r="B1030" t="s">
        <v>2246</v>
      </c>
      <c r="C1030" t="s">
        <v>1219</v>
      </c>
      <c r="D1030" t="s">
        <v>2226</v>
      </c>
      <c r="E1030">
        <v>3945</v>
      </c>
      <c r="F1030">
        <v>2719</v>
      </c>
      <c r="G1030">
        <v>31</v>
      </c>
      <c r="H1030">
        <v>1226</v>
      </c>
      <c r="I1030" t="s">
        <v>167</v>
      </c>
      <c r="J1030">
        <v>3.7</v>
      </c>
      <c r="K1030">
        <v>13406</v>
      </c>
      <c r="L1030">
        <v>0.11212121212121209</v>
      </c>
      <c r="M1030" t="s">
        <v>18</v>
      </c>
    </row>
    <row r="1031" spans="1:13" x14ac:dyDescent="0.3">
      <c r="A1031" t="s">
        <v>2247</v>
      </c>
      <c r="B1031" t="s">
        <v>2248</v>
      </c>
      <c r="C1031" t="s">
        <v>1219</v>
      </c>
      <c r="D1031" t="s">
        <v>2010</v>
      </c>
      <c r="E1031">
        <v>1999</v>
      </c>
      <c r="F1031">
        <v>1439</v>
      </c>
      <c r="G1031">
        <v>28</v>
      </c>
      <c r="H1031">
        <v>560</v>
      </c>
      <c r="I1031" t="s">
        <v>64</v>
      </c>
      <c r="J1031">
        <v>4.8</v>
      </c>
      <c r="K1031">
        <v>53803</v>
      </c>
      <c r="L1031">
        <v>0.48749999999999999</v>
      </c>
      <c r="M1031" t="s">
        <v>18</v>
      </c>
    </row>
    <row r="1032" spans="1:13" x14ac:dyDescent="0.3">
      <c r="A1032" t="s">
        <v>2249</v>
      </c>
      <c r="B1032" t="s">
        <v>2250</v>
      </c>
      <c r="C1032" t="s">
        <v>1219</v>
      </c>
      <c r="D1032" t="s">
        <v>2001</v>
      </c>
      <c r="E1032">
        <v>3499</v>
      </c>
      <c r="F1032">
        <v>2799</v>
      </c>
      <c r="G1032">
        <v>20</v>
      </c>
      <c r="H1032">
        <v>700</v>
      </c>
      <c r="I1032" t="s">
        <v>167</v>
      </c>
      <c r="J1032">
        <v>4.5</v>
      </c>
      <c r="K1032">
        <v>546</v>
      </c>
      <c r="L1032">
        <v>0.29869281045751628</v>
      </c>
      <c r="M1032" t="s">
        <v>18</v>
      </c>
    </row>
    <row r="1033" spans="1:13" x14ac:dyDescent="0.3">
      <c r="A1033" t="s">
        <v>2251</v>
      </c>
      <c r="B1033" t="s">
        <v>2252</v>
      </c>
      <c r="C1033" t="s">
        <v>1219</v>
      </c>
      <c r="D1033" t="s">
        <v>2010</v>
      </c>
      <c r="E1033">
        <v>5550</v>
      </c>
      <c r="F1033">
        <v>2088</v>
      </c>
      <c r="G1033">
        <v>62</v>
      </c>
      <c r="H1033">
        <v>3462</v>
      </c>
      <c r="I1033" t="s">
        <v>167</v>
      </c>
      <c r="J1033">
        <v>4</v>
      </c>
      <c r="K1033">
        <v>5292</v>
      </c>
      <c r="L1033">
        <v>0.34560606060606058</v>
      </c>
      <c r="M1033" t="s">
        <v>18</v>
      </c>
    </row>
    <row r="1034" spans="1:13" x14ac:dyDescent="0.3">
      <c r="A1034" t="s">
        <v>2253</v>
      </c>
      <c r="B1034" t="s">
        <v>2254</v>
      </c>
      <c r="C1034" t="s">
        <v>1219</v>
      </c>
      <c r="D1034" t="s">
        <v>2010</v>
      </c>
      <c r="E1034">
        <v>4590</v>
      </c>
      <c r="F1034">
        <v>2399</v>
      </c>
      <c r="G1034">
        <v>48</v>
      </c>
      <c r="H1034">
        <v>2191</v>
      </c>
      <c r="I1034" t="s">
        <v>167</v>
      </c>
      <c r="J1034">
        <v>4.0999999999999996</v>
      </c>
      <c r="K1034">
        <v>444</v>
      </c>
      <c r="L1034">
        <v>5.6666666666666601E-2</v>
      </c>
      <c r="M1034" t="s">
        <v>103</v>
      </c>
    </row>
    <row r="1035" spans="1:13" x14ac:dyDescent="0.3">
      <c r="A1035" t="s">
        <v>2255</v>
      </c>
      <c r="B1035" t="s">
        <v>2256</v>
      </c>
      <c r="C1035" t="s">
        <v>1219</v>
      </c>
      <c r="D1035" t="s">
        <v>1978</v>
      </c>
      <c r="E1035">
        <v>499</v>
      </c>
      <c r="F1035">
        <v>308</v>
      </c>
      <c r="G1035">
        <v>38</v>
      </c>
      <c r="H1035">
        <v>191</v>
      </c>
      <c r="I1035" t="s">
        <v>17</v>
      </c>
      <c r="J1035">
        <v>3.9</v>
      </c>
      <c r="K1035">
        <v>4584</v>
      </c>
      <c r="L1035">
        <v>0.27857142857142858</v>
      </c>
      <c r="M1035" t="s">
        <v>18</v>
      </c>
    </row>
    <row r="1036" spans="1:13" x14ac:dyDescent="0.3">
      <c r="A1036" t="s">
        <v>2257</v>
      </c>
      <c r="B1036" t="s">
        <v>2258</v>
      </c>
      <c r="C1036" t="s">
        <v>1219</v>
      </c>
      <c r="D1036" t="s">
        <v>2010</v>
      </c>
      <c r="E1036">
        <v>4400</v>
      </c>
      <c r="F1036">
        <v>2599</v>
      </c>
      <c r="G1036">
        <v>41</v>
      </c>
      <c r="H1036">
        <v>1801</v>
      </c>
      <c r="I1036" t="s">
        <v>167</v>
      </c>
      <c r="J1036">
        <v>4.0999999999999996</v>
      </c>
      <c r="K1036">
        <v>14947</v>
      </c>
      <c r="L1036">
        <v>0.21747685185185181</v>
      </c>
      <c r="M1036" t="s">
        <v>18</v>
      </c>
    </row>
    <row r="1037" spans="1:13" x14ac:dyDescent="0.3">
      <c r="A1037" t="s">
        <v>2259</v>
      </c>
      <c r="B1037" t="s">
        <v>2260</v>
      </c>
      <c r="C1037" t="s">
        <v>1219</v>
      </c>
      <c r="D1037" t="s">
        <v>2004</v>
      </c>
      <c r="E1037">
        <v>1000</v>
      </c>
      <c r="F1037">
        <v>479</v>
      </c>
      <c r="G1037">
        <v>52</v>
      </c>
      <c r="H1037">
        <v>521</v>
      </c>
      <c r="I1037" t="s">
        <v>17</v>
      </c>
      <c r="J1037">
        <v>4.2</v>
      </c>
      <c r="K1037">
        <v>1559</v>
      </c>
      <c r="L1037">
        <v>0.25761904761904758</v>
      </c>
      <c r="M1037" t="s">
        <v>18</v>
      </c>
    </row>
    <row r="1038" spans="1:13" x14ac:dyDescent="0.3">
      <c r="A1038" t="s">
        <v>2261</v>
      </c>
      <c r="B1038" t="s">
        <v>2262</v>
      </c>
      <c r="C1038" t="s">
        <v>1219</v>
      </c>
      <c r="D1038" t="s">
        <v>1975</v>
      </c>
      <c r="E1038">
        <v>299</v>
      </c>
      <c r="F1038">
        <v>245</v>
      </c>
      <c r="G1038">
        <v>18</v>
      </c>
      <c r="H1038">
        <v>54</v>
      </c>
      <c r="I1038" t="s">
        <v>17</v>
      </c>
      <c r="J1038">
        <v>4.0999999999999996</v>
      </c>
      <c r="K1038">
        <v>1660</v>
      </c>
      <c r="L1038">
        <v>0.29864583333333328</v>
      </c>
      <c r="M1038" t="s">
        <v>18</v>
      </c>
    </row>
    <row r="1039" spans="1:13" x14ac:dyDescent="0.3">
      <c r="A1039" t="s">
        <v>2263</v>
      </c>
      <c r="B1039" t="s">
        <v>2264</v>
      </c>
      <c r="C1039" t="s">
        <v>1219</v>
      </c>
      <c r="D1039" t="s">
        <v>1975</v>
      </c>
      <c r="E1039">
        <v>799</v>
      </c>
      <c r="F1039">
        <v>179</v>
      </c>
      <c r="G1039">
        <v>78</v>
      </c>
      <c r="H1039">
        <v>620</v>
      </c>
      <c r="I1039" t="s">
        <v>17</v>
      </c>
      <c r="J1039">
        <v>3.5</v>
      </c>
      <c r="K1039">
        <v>132</v>
      </c>
      <c r="L1039">
        <v>0.28499999999999998</v>
      </c>
      <c r="M1039" t="s">
        <v>18</v>
      </c>
    </row>
    <row r="1040" spans="1:13" x14ac:dyDescent="0.3">
      <c r="A1040" t="s">
        <v>2265</v>
      </c>
      <c r="B1040" t="s">
        <v>2266</v>
      </c>
      <c r="C1040" t="s">
        <v>1219</v>
      </c>
      <c r="D1040" t="s">
        <v>2137</v>
      </c>
      <c r="E1040">
        <v>5190</v>
      </c>
      <c r="F1040">
        <v>3569</v>
      </c>
      <c r="G1040">
        <v>31</v>
      </c>
      <c r="H1040">
        <v>1621</v>
      </c>
      <c r="I1040" t="s">
        <v>167</v>
      </c>
      <c r="J1040">
        <v>4.3</v>
      </c>
      <c r="K1040">
        <v>28629</v>
      </c>
      <c r="L1040">
        <v>0.4642857142857143</v>
      </c>
      <c r="M1040" t="s">
        <v>18</v>
      </c>
    </row>
    <row r="1041" spans="1:13" x14ac:dyDescent="0.3">
      <c r="A1041" t="s">
        <v>2267</v>
      </c>
      <c r="B1041" t="s">
        <v>2268</v>
      </c>
      <c r="C1041" t="s">
        <v>1219</v>
      </c>
      <c r="D1041" t="s">
        <v>1966</v>
      </c>
      <c r="E1041">
        <v>1345</v>
      </c>
      <c r="F1041">
        <v>699</v>
      </c>
      <c r="G1041">
        <v>48</v>
      </c>
      <c r="H1041">
        <v>646</v>
      </c>
      <c r="I1041" t="s">
        <v>64</v>
      </c>
      <c r="J1041">
        <v>3.9</v>
      </c>
      <c r="K1041">
        <v>8446</v>
      </c>
      <c r="L1041">
        <v>0.1802991452991452</v>
      </c>
      <c r="M1041" t="s">
        <v>18</v>
      </c>
    </row>
    <row r="1042" spans="1:13" x14ac:dyDescent="0.3">
      <c r="A1042" t="s">
        <v>2269</v>
      </c>
      <c r="B1042" t="s">
        <v>2270</v>
      </c>
      <c r="C1042" t="s">
        <v>1219</v>
      </c>
      <c r="D1042" t="s">
        <v>1992</v>
      </c>
      <c r="E1042">
        <v>4000</v>
      </c>
      <c r="F1042">
        <v>2089</v>
      </c>
      <c r="G1042">
        <v>48</v>
      </c>
      <c r="H1042">
        <v>1911</v>
      </c>
      <c r="I1042" t="s">
        <v>167</v>
      </c>
      <c r="J1042">
        <v>4.2</v>
      </c>
      <c r="K1042">
        <v>11199</v>
      </c>
      <c r="L1042">
        <v>0.30833333333333329</v>
      </c>
      <c r="M1042" t="s">
        <v>18</v>
      </c>
    </row>
    <row r="1043" spans="1:13" x14ac:dyDescent="0.3">
      <c r="A1043" t="s">
        <v>2271</v>
      </c>
      <c r="B1043" t="s">
        <v>2272</v>
      </c>
      <c r="C1043" t="s">
        <v>2273</v>
      </c>
      <c r="D1043" t="s">
        <v>2274</v>
      </c>
      <c r="E1043">
        <v>4000</v>
      </c>
      <c r="F1043">
        <v>2339</v>
      </c>
      <c r="G1043">
        <v>42</v>
      </c>
      <c r="H1043">
        <v>1661</v>
      </c>
      <c r="I1043" t="s">
        <v>167</v>
      </c>
      <c r="J1043">
        <v>3.8</v>
      </c>
      <c r="K1043">
        <v>1118</v>
      </c>
      <c r="L1043">
        <v>0.25821428571428567</v>
      </c>
      <c r="M1043" t="s">
        <v>18</v>
      </c>
    </row>
    <row r="1044" spans="1:13" x14ac:dyDescent="0.3">
      <c r="A1044" t="s">
        <v>2275</v>
      </c>
      <c r="B1044" t="s">
        <v>2276</v>
      </c>
      <c r="C1044" t="s">
        <v>1219</v>
      </c>
      <c r="D1044" t="s">
        <v>1972</v>
      </c>
      <c r="E1044">
        <v>1599</v>
      </c>
      <c r="F1044">
        <v>784</v>
      </c>
      <c r="G1044">
        <v>51</v>
      </c>
      <c r="H1044">
        <v>815</v>
      </c>
      <c r="I1044" t="s">
        <v>64</v>
      </c>
      <c r="J1044">
        <v>4.5</v>
      </c>
      <c r="K1044">
        <v>11</v>
      </c>
      <c r="L1044">
        <v>0.26041666666666669</v>
      </c>
      <c r="M1044" t="s">
        <v>18</v>
      </c>
    </row>
    <row r="1045" spans="1:13" x14ac:dyDescent="0.3">
      <c r="A1045" t="s">
        <v>2277</v>
      </c>
      <c r="B1045" t="s">
        <v>2278</v>
      </c>
      <c r="C1045" t="s">
        <v>1219</v>
      </c>
      <c r="D1045" t="s">
        <v>2279</v>
      </c>
      <c r="E1045">
        <v>9999</v>
      </c>
      <c r="F1045">
        <v>5499</v>
      </c>
      <c r="G1045">
        <v>45</v>
      </c>
      <c r="H1045">
        <v>4500</v>
      </c>
      <c r="I1045" t="s">
        <v>55</v>
      </c>
      <c r="J1045">
        <v>3.8</v>
      </c>
      <c r="K1045">
        <v>4353</v>
      </c>
      <c r="L1045">
        <v>0.26459030100334452</v>
      </c>
      <c r="M1045" t="s">
        <v>18</v>
      </c>
    </row>
    <row r="1046" spans="1:13" x14ac:dyDescent="0.3">
      <c r="A1046" t="s">
        <v>2280</v>
      </c>
      <c r="B1046" t="s">
        <v>2281</v>
      </c>
      <c r="C1046" t="s">
        <v>1219</v>
      </c>
      <c r="D1046" t="s">
        <v>1972</v>
      </c>
      <c r="E1046">
        <v>1990</v>
      </c>
      <c r="F1046">
        <v>899</v>
      </c>
      <c r="G1046">
        <v>55</v>
      </c>
      <c r="H1046">
        <v>1091</v>
      </c>
      <c r="I1046" t="s">
        <v>64</v>
      </c>
      <c r="J1046">
        <v>4.0999999999999996</v>
      </c>
      <c r="K1046">
        <v>185</v>
      </c>
      <c r="L1046">
        <v>0.38914141414141418</v>
      </c>
      <c r="M1046" t="s">
        <v>18</v>
      </c>
    </row>
    <row r="1047" spans="1:13" x14ac:dyDescent="0.3">
      <c r="A1047" t="s">
        <v>2282</v>
      </c>
      <c r="B1047" t="s">
        <v>2283</v>
      </c>
      <c r="C1047" t="s">
        <v>1219</v>
      </c>
      <c r="D1047" t="s">
        <v>2001</v>
      </c>
      <c r="E1047">
        <v>1695</v>
      </c>
      <c r="F1047">
        <v>1695</v>
      </c>
      <c r="G1047">
        <v>0</v>
      </c>
      <c r="H1047">
        <v>0</v>
      </c>
      <c r="I1047" t="s">
        <v>167</v>
      </c>
      <c r="J1047">
        <v>4.2</v>
      </c>
      <c r="K1047">
        <v>14290</v>
      </c>
      <c r="L1047">
        <v>0.51583333333333337</v>
      </c>
      <c r="M1047" t="s">
        <v>18</v>
      </c>
    </row>
    <row r="1048" spans="1:13" x14ac:dyDescent="0.3">
      <c r="A1048" t="s">
        <v>2284</v>
      </c>
      <c r="B1048" t="s">
        <v>2285</v>
      </c>
      <c r="C1048" t="s">
        <v>1219</v>
      </c>
      <c r="D1048" t="s">
        <v>2004</v>
      </c>
      <c r="E1048">
        <v>940</v>
      </c>
      <c r="F1048">
        <v>499</v>
      </c>
      <c r="G1048">
        <v>47</v>
      </c>
      <c r="H1048">
        <v>441</v>
      </c>
      <c r="I1048" t="s">
        <v>17</v>
      </c>
      <c r="J1048">
        <v>4.0999999999999996</v>
      </c>
      <c r="K1048">
        <v>3036</v>
      </c>
      <c r="L1048">
        <v>0.125</v>
      </c>
      <c r="M1048" t="s">
        <v>18</v>
      </c>
    </row>
    <row r="1049" spans="1:13" x14ac:dyDescent="0.3">
      <c r="A1049" t="s">
        <v>2286</v>
      </c>
      <c r="B1049" t="s">
        <v>2287</v>
      </c>
      <c r="C1049" t="s">
        <v>1219</v>
      </c>
      <c r="D1049" t="s">
        <v>2010</v>
      </c>
      <c r="E1049">
        <v>4700</v>
      </c>
      <c r="F1049">
        <v>2699</v>
      </c>
      <c r="G1049">
        <v>43</v>
      </c>
      <c r="H1049">
        <v>2001</v>
      </c>
      <c r="I1049" t="s">
        <v>167</v>
      </c>
      <c r="J1049">
        <v>4.2</v>
      </c>
      <c r="K1049">
        <v>1296</v>
      </c>
      <c r="L1049">
        <v>0.36666666666666659</v>
      </c>
      <c r="M1049" t="s">
        <v>18</v>
      </c>
    </row>
    <row r="1050" spans="1:13" x14ac:dyDescent="0.3">
      <c r="A1050" t="s">
        <v>2288</v>
      </c>
      <c r="B1050" t="s">
        <v>2289</v>
      </c>
      <c r="C1050" t="s">
        <v>1219</v>
      </c>
      <c r="D1050" t="s">
        <v>2010</v>
      </c>
      <c r="E1050">
        <v>2999</v>
      </c>
      <c r="F1050">
        <v>1448</v>
      </c>
      <c r="G1050">
        <v>52</v>
      </c>
      <c r="H1050">
        <v>1551</v>
      </c>
      <c r="I1050" t="s">
        <v>64</v>
      </c>
      <c r="J1050">
        <v>4.5</v>
      </c>
      <c r="K1050">
        <v>19</v>
      </c>
      <c r="L1050">
        <v>0.55333333333333334</v>
      </c>
      <c r="M1050" t="s">
        <v>18</v>
      </c>
    </row>
    <row r="1051" spans="1:13" x14ac:dyDescent="0.3">
      <c r="A1051" t="s">
        <v>2290</v>
      </c>
      <c r="B1051" t="s">
        <v>2291</v>
      </c>
      <c r="C1051" t="s">
        <v>1219</v>
      </c>
      <c r="D1051" t="s">
        <v>2134</v>
      </c>
      <c r="E1051">
        <v>79</v>
      </c>
      <c r="F1051">
        <v>79</v>
      </c>
      <c r="G1051">
        <v>0</v>
      </c>
      <c r="H1051">
        <v>0</v>
      </c>
      <c r="I1051" t="s">
        <v>17</v>
      </c>
      <c r="J1051">
        <v>4</v>
      </c>
      <c r="K1051">
        <v>97</v>
      </c>
      <c r="L1051">
        <v>7.2493386243386193E-2</v>
      </c>
      <c r="M1051" t="s">
        <v>103</v>
      </c>
    </row>
    <row r="1052" spans="1:13" x14ac:dyDescent="0.3">
      <c r="A1052" t="s">
        <v>2292</v>
      </c>
      <c r="B1052" t="s">
        <v>2293</v>
      </c>
      <c r="C1052" t="s">
        <v>1219</v>
      </c>
      <c r="D1052" t="s">
        <v>2023</v>
      </c>
      <c r="E1052">
        <v>14290</v>
      </c>
      <c r="F1052">
        <v>6990</v>
      </c>
      <c r="G1052">
        <v>51</v>
      </c>
      <c r="H1052">
        <v>7300</v>
      </c>
      <c r="I1052" t="s">
        <v>55</v>
      </c>
      <c r="J1052">
        <v>4.4000000000000004</v>
      </c>
      <c r="K1052">
        <v>1771</v>
      </c>
      <c r="L1052">
        <v>0.29328124999999999</v>
      </c>
      <c r="M1052" t="s">
        <v>18</v>
      </c>
    </row>
    <row r="1053" spans="1:13" x14ac:dyDescent="0.3">
      <c r="A1053" t="s">
        <v>2294</v>
      </c>
      <c r="B1053" t="s">
        <v>2295</v>
      </c>
      <c r="C1053" t="s">
        <v>1219</v>
      </c>
      <c r="D1053" t="s">
        <v>1992</v>
      </c>
      <c r="E1053">
        <v>3945</v>
      </c>
      <c r="F1053">
        <v>2698</v>
      </c>
      <c r="G1053">
        <v>32</v>
      </c>
      <c r="H1053">
        <v>1247</v>
      </c>
      <c r="I1053" t="s">
        <v>167</v>
      </c>
      <c r="J1053">
        <v>4</v>
      </c>
      <c r="K1053">
        <v>15034</v>
      </c>
      <c r="L1053">
        <v>0.19380952380952379</v>
      </c>
      <c r="M1053" t="s">
        <v>18</v>
      </c>
    </row>
    <row r="1054" spans="1:13" x14ac:dyDescent="0.3">
      <c r="A1054" t="s">
        <v>2296</v>
      </c>
      <c r="B1054" t="s">
        <v>2297</v>
      </c>
      <c r="C1054" t="s">
        <v>1219</v>
      </c>
      <c r="D1054" t="s">
        <v>2279</v>
      </c>
      <c r="E1054">
        <v>5999</v>
      </c>
      <c r="F1054">
        <v>3199</v>
      </c>
      <c r="G1054">
        <v>47</v>
      </c>
      <c r="H1054">
        <v>2800</v>
      </c>
      <c r="I1054" t="s">
        <v>167</v>
      </c>
      <c r="J1054">
        <v>4</v>
      </c>
      <c r="K1054">
        <v>3242</v>
      </c>
      <c r="L1054">
        <v>1.2500000000000001E-2</v>
      </c>
      <c r="M1054" t="s">
        <v>103</v>
      </c>
    </row>
    <row r="1055" spans="1:13" x14ac:dyDescent="0.3">
      <c r="A1055" t="s">
        <v>2298</v>
      </c>
      <c r="B1055" t="s">
        <v>2299</v>
      </c>
      <c r="C1055" t="s">
        <v>1219</v>
      </c>
      <c r="D1055" t="s">
        <v>2020</v>
      </c>
      <c r="E1055">
        <v>1950</v>
      </c>
      <c r="F1055">
        <v>1199</v>
      </c>
      <c r="G1055">
        <v>39</v>
      </c>
      <c r="H1055">
        <v>751</v>
      </c>
      <c r="I1055" t="s">
        <v>64</v>
      </c>
      <c r="J1055">
        <v>3.9</v>
      </c>
      <c r="K1055">
        <v>2832</v>
      </c>
      <c r="L1055">
        <v>0.14999999999999991</v>
      </c>
      <c r="M1055" t="s">
        <v>18</v>
      </c>
    </row>
    <row r="1056" spans="1:13" x14ac:dyDescent="0.3">
      <c r="A1056" t="s">
        <v>2300</v>
      </c>
      <c r="B1056" t="s">
        <v>2301</v>
      </c>
      <c r="C1056" t="s">
        <v>1219</v>
      </c>
      <c r="D1056" t="s">
        <v>2114</v>
      </c>
      <c r="E1056">
        <v>2799</v>
      </c>
      <c r="F1056">
        <v>1414</v>
      </c>
      <c r="G1056">
        <v>49</v>
      </c>
      <c r="H1056">
        <v>1385</v>
      </c>
      <c r="I1056" t="s">
        <v>64</v>
      </c>
      <c r="J1056">
        <v>4</v>
      </c>
      <c r="K1056">
        <v>1498</v>
      </c>
      <c r="L1056">
        <v>0.34113095238095231</v>
      </c>
      <c r="M1056" t="s">
        <v>18</v>
      </c>
    </row>
    <row r="1057" spans="1:13" x14ac:dyDescent="0.3">
      <c r="A1057" t="s">
        <v>2302</v>
      </c>
      <c r="B1057" t="s">
        <v>2303</v>
      </c>
      <c r="C1057" t="s">
        <v>1219</v>
      </c>
      <c r="D1057" t="s">
        <v>1966</v>
      </c>
      <c r="E1057">
        <v>1950</v>
      </c>
      <c r="F1057">
        <v>999</v>
      </c>
      <c r="G1057">
        <v>49</v>
      </c>
      <c r="H1057">
        <v>951</v>
      </c>
      <c r="I1057" t="s">
        <v>64</v>
      </c>
      <c r="J1057">
        <v>3.8</v>
      </c>
      <c r="K1057">
        <v>305</v>
      </c>
      <c r="L1057">
        <v>-2.52136752136752E-2</v>
      </c>
      <c r="M1057" t="s">
        <v>103</v>
      </c>
    </row>
    <row r="1058" spans="1:13" x14ac:dyDescent="0.3">
      <c r="A1058" t="s">
        <v>2304</v>
      </c>
      <c r="B1058" t="s">
        <v>2305</v>
      </c>
      <c r="C1058" t="s">
        <v>1219</v>
      </c>
      <c r="D1058" t="s">
        <v>2144</v>
      </c>
      <c r="E1058">
        <v>9999</v>
      </c>
      <c r="F1058">
        <v>5999</v>
      </c>
      <c r="G1058">
        <v>40</v>
      </c>
      <c r="H1058">
        <v>4000</v>
      </c>
      <c r="I1058" t="s">
        <v>55</v>
      </c>
      <c r="J1058">
        <v>4.2</v>
      </c>
      <c r="K1058">
        <v>1191</v>
      </c>
      <c r="L1058">
        <v>0.23933333333333329</v>
      </c>
      <c r="M1058" t="s">
        <v>18</v>
      </c>
    </row>
    <row r="1059" spans="1:13" x14ac:dyDescent="0.3">
      <c r="A1059" t="s">
        <v>2306</v>
      </c>
      <c r="B1059" t="s">
        <v>2307</v>
      </c>
      <c r="C1059" t="s">
        <v>1219</v>
      </c>
      <c r="D1059" t="s">
        <v>2308</v>
      </c>
      <c r="E1059">
        <v>12999</v>
      </c>
      <c r="F1059">
        <v>9970</v>
      </c>
      <c r="G1059">
        <v>23</v>
      </c>
      <c r="H1059">
        <v>3029</v>
      </c>
      <c r="I1059" t="s">
        <v>55</v>
      </c>
      <c r="J1059">
        <v>4.3</v>
      </c>
      <c r="K1059">
        <v>4049</v>
      </c>
      <c r="L1059">
        <v>0.15525606075606069</v>
      </c>
      <c r="M1059" t="s">
        <v>18</v>
      </c>
    </row>
    <row r="1060" spans="1:13" x14ac:dyDescent="0.3">
      <c r="A1060" t="s">
        <v>2309</v>
      </c>
      <c r="B1060" t="s">
        <v>2310</v>
      </c>
      <c r="C1060" t="s">
        <v>1219</v>
      </c>
      <c r="D1060" t="s">
        <v>2311</v>
      </c>
      <c r="E1060">
        <v>699</v>
      </c>
      <c r="F1060">
        <v>698</v>
      </c>
      <c r="G1060">
        <v>0</v>
      </c>
      <c r="H1060">
        <v>1</v>
      </c>
      <c r="I1060" t="s">
        <v>64</v>
      </c>
      <c r="J1060">
        <v>4.2</v>
      </c>
      <c r="K1060">
        <v>3160</v>
      </c>
      <c r="L1060">
        <v>0.20595238095238089</v>
      </c>
      <c r="M1060" t="s">
        <v>18</v>
      </c>
    </row>
    <row r="1061" spans="1:13" x14ac:dyDescent="0.3">
      <c r="A1061" t="s">
        <v>2312</v>
      </c>
      <c r="B1061" t="s">
        <v>2313</v>
      </c>
      <c r="C1061" t="s">
        <v>1219</v>
      </c>
      <c r="D1061" t="s">
        <v>2137</v>
      </c>
      <c r="E1061">
        <v>3190</v>
      </c>
      <c r="F1061">
        <v>2199</v>
      </c>
      <c r="G1061">
        <v>31</v>
      </c>
      <c r="H1061">
        <v>991</v>
      </c>
      <c r="I1061" t="s">
        <v>167</v>
      </c>
      <c r="J1061">
        <v>4.3</v>
      </c>
      <c r="K1061">
        <v>9650</v>
      </c>
      <c r="L1061">
        <v>0.4107670454545454</v>
      </c>
      <c r="M1061" t="s">
        <v>18</v>
      </c>
    </row>
    <row r="1062" spans="1:13" x14ac:dyDescent="0.3">
      <c r="A1062" t="s">
        <v>2314</v>
      </c>
      <c r="B1062" t="s">
        <v>2315</v>
      </c>
      <c r="C1062" t="s">
        <v>1219</v>
      </c>
      <c r="D1062" t="s">
        <v>2316</v>
      </c>
      <c r="E1062">
        <v>799</v>
      </c>
      <c r="F1062">
        <v>320</v>
      </c>
      <c r="G1062">
        <v>60</v>
      </c>
      <c r="H1062">
        <v>479</v>
      </c>
      <c r="I1062" t="s">
        <v>17</v>
      </c>
      <c r="J1062">
        <v>4.2</v>
      </c>
      <c r="K1062">
        <v>3846</v>
      </c>
      <c r="L1062">
        <v>0.32750000000000001</v>
      </c>
      <c r="M1062" t="s">
        <v>18</v>
      </c>
    </row>
    <row r="1063" spans="1:13" x14ac:dyDescent="0.3">
      <c r="A1063" t="s">
        <v>2317</v>
      </c>
      <c r="B1063" t="s">
        <v>2318</v>
      </c>
      <c r="C1063" t="s">
        <v>1219</v>
      </c>
      <c r="D1063" t="s">
        <v>1975</v>
      </c>
      <c r="E1063">
        <v>499</v>
      </c>
      <c r="F1063">
        <v>298</v>
      </c>
      <c r="G1063">
        <v>40</v>
      </c>
      <c r="H1063">
        <v>201</v>
      </c>
      <c r="I1063" t="s">
        <v>17</v>
      </c>
      <c r="J1063">
        <v>4.4000000000000004</v>
      </c>
      <c r="K1063">
        <v>290</v>
      </c>
      <c r="L1063">
        <v>0.32798245614035099</v>
      </c>
      <c r="M1063" t="s">
        <v>18</v>
      </c>
    </row>
    <row r="1064" spans="1:13" x14ac:dyDescent="0.3">
      <c r="A1064" t="s">
        <v>2319</v>
      </c>
      <c r="B1064" t="s">
        <v>2320</v>
      </c>
      <c r="C1064" t="s">
        <v>1219</v>
      </c>
      <c r="D1064" t="s">
        <v>2060</v>
      </c>
      <c r="E1064">
        <v>1499</v>
      </c>
      <c r="F1064">
        <v>1199</v>
      </c>
      <c r="G1064">
        <v>20</v>
      </c>
      <c r="H1064">
        <v>300</v>
      </c>
      <c r="I1064" t="s">
        <v>64</v>
      </c>
      <c r="J1064">
        <v>3.8</v>
      </c>
      <c r="K1064">
        <v>2206</v>
      </c>
      <c r="L1064">
        <v>0.35121693121693132</v>
      </c>
      <c r="M1064" t="s">
        <v>18</v>
      </c>
    </row>
    <row r="1065" spans="1:13" x14ac:dyDescent="0.3">
      <c r="A1065" t="s">
        <v>2321</v>
      </c>
      <c r="B1065" t="s">
        <v>2322</v>
      </c>
      <c r="C1065" t="s">
        <v>1219</v>
      </c>
      <c r="D1065" t="s">
        <v>2137</v>
      </c>
      <c r="E1065">
        <v>2660</v>
      </c>
      <c r="F1065">
        <v>1399</v>
      </c>
      <c r="G1065">
        <v>47</v>
      </c>
      <c r="H1065">
        <v>1261</v>
      </c>
      <c r="I1065" t="s">
        <v>64</v>
      </c>
      <c r="J1065">
        <v>4.0999999999999996</v>
      </c>
      <c r="K1065">
        <v>9349</v>
      </c>
      <c r="L1065">
        <v>0.1303418803418803</v>
      </c>
      <c r="M1065" t="s">
        <v>18</v>
      </c>
    </row>
    <row r="1066" spans="1:13" x14ac:dyDescent="0.3">
      <c r="A1066" t="s">
        <v>2323</v>
      </c>
      <c r="B1066" t="s">
        <v>2324</v>
      </c>
      <c r="C1066" t="s">
        <v>1219</v>
      </c>
      <c r="D1066" t="s">
        <v>1978</v>
      </c>
      <c r="E1066">
        <v>2799</v>
      </c>
      <c r="F1066">
        <v>599</v>
      </c>
      <c r="G1066">
        <v>79</v>
      </c>
      <c r="H1066">
        <v>2200</v>
      </c>
      <c r="I1066" t="s">
        <v>64</v>
      </c>
      <c r="J1066">
        <v>3.9</v>
      </c>
      <c r="K1066">
        <v>578</v>
      </c>
      <c r="L1066">
        <v>4.3560606060606001E-2</v>
      </c>
      <c r="M1066" t="s">
        <v>103</v>
      </c>
    </row>
    <row r="1067" spans="1:13" x14ac:dyDescent="0.3">
      <c r="A1067" t="s">
        <v>2325</v>
      </c>
      <c r="B1067" t="s">
        <v>2326</v>
      </c>
      <c r="C1067" t="s">
        <v>1219</v>
      </c>
      <c r="D1067" t="s">
        <v>2173</v>
      </c>
      <c r="E1067">
        <v>1499</v>
      </c>
      <c r="F1067">
        <v>1499</v>
      </c>
      <c r="G1067">
        <v>0</v>
      </c>
      <c r="H1067">
        <v>0</v>
      </c>
      <c r="I1067" t="s">
        <v>64</v>
      </c>
      <c r="J1067">
        <v>4.3</v>
      </c>
      <c r="K1067">
        <v>9331</v>
      </c>
      <c r="L1067">
        <v>0.34507575757575759</v>
      </c>
      <c r="M1067" t="s">
        <v>18</v>
      </c>
    </row>
    <row r="1068" spans="1:13" x14ac:dyDescent="0.3">
      <c r="A1068" t="s">
        <v>2327</v>
      </c>
      <c r="B1068" t="s">
        <v>2328</v>
      </c>
      <c r="C1068" t="s">
        <v>1219</v>
      </c>
      <c r="D1068" t="s">
        <v>2308</v>
      </c>
      <c r="E1068">
        <v>59900</v>
      </c>
      <c r="F1068">
        <v>14400</v>
      </c>
      <c r="G1068">
        <v>76</v>
      </c>
      <c r="H1068">
        <v>45500</v>
      </c>
      <c r="I1068" t="s">
        <v>55</v>
      </c>
      <c r="J1068">
        <v>4.4000000000000004</v>
      </c>
      <c r="K1068">
        <v>3837</v>
      </c>
      <c r="L1068">
        <v>0.25745862884160758</v>
      </c>
      <c r="M1068" t="s">
        <v>18</v>
      </c>
    </row>
    <row r="1069" spans="1:13" x14ac:dyDescent="0.3">
      <c r="A1069" t="s">
        <v>2329</v>
      </c>
      <c r="B1069" t="s">
        <v>2330</v>
      </c>
      <c r="C1069" t="s">
        <v>1219</v>
      </c>
      <c r="D1069" t="s">
        <v>2311</v>
      </c>
      <c r="E1069">
        <v>1900</v>
      </c>
      <c r="F1069">
        <v>1699</v>
      </c>
      <c r="G1069">
        <v>11</v>
      </c>
      <c r="H1069">
        <v>201</v>
      </c>
      <c r="I1069" t="s">
        <v>167</v>
      </c>
      <c r="J1069">
        <v>3.6</v>
      </c>
      <c r="K1069">
        <v>11456</v>
      </c>
      <c r="L1069">
        <v>0.1657366071428571</v>
      </c>
      <c r="M1069" t="s">
        <v>18</v>
      </c>
    </row>
    <row r="1070" spans="1:13" x14ac:dyDescent="0.3">
      <c r="A1070" t="s">
        <v>2331</v>
      </c>
      <c r="B1070" t="s">
        <v>2332</v>
      </c>
      <c r="C1070" t="s">
        <v>1219</v>
      </c>
      <c r="D1070" t="s">
        <v>1969</v>
      </c>
      <c r="E1070">
        <v>999</v>
      </c>
      <c r="F1070">
        <v>649</v>
      </c>
      <c r="G1070">
        <v>35</v>
      </c>
      <c r="H1070">
        <v>350</v>
      </c>
      <c r="I1070" t="s">
        <v>64</v>
      </c>
      <c r="J1070">
        <v>3.8</v>
      </c>
      <c r="K1070">
        <v>49</v>
      </c>
      <c r="L1070">
        <v>4.1792717086834699E-2</v>
      </c>
      <c r="M1070" t="s">
        <v>103</v>
      </c>
    </row>
    <row r="1071" spans="1:13" x14ac:dyDescent="0.3">
      <c r="A1071" t="s">
        <v>2333</v>
      </c>
      <c r="B1071" t="s">
        <v>2334</v>
      </c>
      <c r="C1071" t="s">
        <v>1219</v>
      </c>
      <c r="D1071" t="s">
        <v>2007</v>
      </c>
      <c r="E1071">
        <v>6375</v>
      </c>
      <c r="F1071">
        <v>3249</v>
      </c>
      <c r="G1071">
        <v>49</v>
      </c>
      <c r="H1071">
        <v>3126</v>
      </c>
      <c r="I1071" t="s">
        <v>167</v>
      </c>
      <c r="J1071">
        <v>4</v>
      </c>
      <c r="K1071">
        <v>4978</v>
      </c>
      <c r="L1071">
        <v>0.23070175438596491</v>
      </c>
      <c r="M1071" t="s">
        <v>18</v>
      </c>
    </row>
    <row r="1072" spans="1:13" x14ac:dyDescent="0.3">
      <c r="A1072" t="s">
        <v>2335</v>
      </c>
      <c r="B1072" t="s">
        <v>2336</v>
      </c>
      <c r="C1072" t="s">
        <v>1219</v>
      </c>
      <c r="D1072" t="s">
        <v>2048</v>
      </c>
      <c r="E1072">
        <v>499</v>
      </c>
      <c r="F1072">
        <v>199</v>
      </c>
      <c r="G1072">
        <v>60</v>
      </c>
      <c r="H1072">
        <v>300</v>
      </c>
      <c r="I1072" t="s">
        <v>17</v>
      </c>
      <c r="J1072">
        <v>4.0999999999999996</v>
      </c>
      <c r="K1072">
        <v>1996</v>
      </c>
      <c r="L1072">
        <v>0.19952380952380949</v>
      </c>
      <c r="M1072" t="s">
        <v>18</v>
      </c>
    </row>
    <row r="1073" spans="1:13" x14ac:dyDescent="0.3">
      <c r="A1073" t="s">
        <v>2337</v>
      </c>
      <c r="B1073" t="s">
        <v>2338</v>
      </c>
      <c r="C1073" t="s">
        <v>1219</v>
      </c>
      <c r="D1073" t="s">
        <v>2080</v>
      </c>
      <c r="E1073">
        <v>1899</v>
      </c>
      <c r="F1073">
        <v>1099</v>
      </c>
      <c r="G1073">
        <v>42</v>
      </c>
      <c r="H1073">
        <v>800</v>
      </c>
      <c r="I1073" t="s">
        <v>64</v>
      </c>
      <c r="J1073">
        <v>4.3</v>
      </c>
      <c r="K1073">
        <v>1811</v>
      </c>
      <c r="L1073">
        <v>0.36851851851851858</v>
      </c>
      <c r="M1073" t="s">
        <v>18</v>
      </c>
    </row>
    <row r="1074" spans="1:13" x14ac:dyDescent="0.3">
      <c r="A1074" t="s">
        <v>2339</v>
      </c>
      <c r="B1074" t="s">
        <v>2340</v>
      </c>
      <c r="C1074" t="s">
        <v>1219</v>
      </c>
      <c r="D1074" t="s">
        <v>1966</v>
      </c>
      <c r="E1074">
        <v>1490</v>
      </c>
      <c r="F1074">
        <v>664</v>
      </c>
      <c r="G1074">
        <v>55</v>
      </c>
      <c r="H1074">
        <v>826</v>
      </c>
      <c r="I1074" t="s">
        <v>64</v>
      </c>
      <c r="J1074">
        <v>4</v>
      </c>
      <c r="K1074">
        <v>2198</v>
      </c>
      <c r="L1074">
        <v>0.44444444444444442</v>
      </c>
      <c r="M1074" t="s">
        <v>18</v>
      </c>
    </row>
    <row r="1075" spans="1:13" x14ac:dyDescent="0.3">
      <c r="A1075" t="s">
        <v>2341</v>
      </c>
      <c r="B1075" t="s">
        <v>2342</v>
      </c>
      <c r="C1075" t="s">
        <v>1219</v>
      </c>
      <c r="D1075" t="s">
        <v>2087</v>
      </c>
      <c r="E1075">
        <v>350</v>
      </c>
      <c r="F1075">
        <v>260</v>
      </c>
      <c r="G1075">
        <v>26</v>
      </c>
      <c r="H1075">
        <v>90</v>
      </c>
      <c r="I1075" t="s">
        <v>17</v>
      </c>
      <c r="J1075">
        <v>3.9</v>
      </c>
      <c r="K1075">
        <v>13127</v>
      </c>
      <c r="L1075">
        <v>0.37738095238095237</v>
      </c>
      <c r="M1075" t="s">
        <v>18</v>
      </c>
    </row>
    <row r="1076" spans="1:13" x14ac:dyDescent="0.3">
      <c r="A1076" t="s">
        <v>2343</v>
      </c>
      <c r="B1076" t="s">
        <v>2344</v>
      </c>
      <c r="C1076" t="s">
        <v>1219</v>
      </c>
      <c r="D1076" t="s">
        <v>2023</v>
      </c>
      <c r="E1076">
        <v>8500</v>
      </c>
      <c r="F1076">
        <v>6499</v>
      </c>
      <c r="G1076">
        <v>24</v>
      </c>
      <c r="H1076">
        <v>2001</v>
      </c>
      <c r="I1076" t="s">
        <v>55</v>
      </c>
      <c r="J1076">
        <v>4.4000000000000004</v>
      </c>
      <c r="K1076">
        <v>5865</v>
      </c>
      <c r="L1076">
        <v>0.2517361111111111</v>
      </c>
      <c r="M1076" t="s">
        <v>18</v>
      </c>
    </row>
    <row r="1077" spans="1:13" x14ac:dyDescent="0.3">
      <c r="A1077" t="s">
        <v>2345</v>
      </c>
      <c r="B1077" t="s">
        <v>2346</v>
      </c>
      <c r="C1077" t="s">
        <v>1219</v>
      </c>
      <c r="D1077" t="s">
        <v>2347</v>
      </c>
      <c r="E1077">
        <v>2499</v>
      </c>
      <c r="F1077">
        <v>1484</v>
      </c>
      <c r="G1077">
        <v>41</v>
      </c>
      <c r="H1077">
        <v>1015</v>
      </c>
      <c r="I1077" t="s">
        <v>64</v>
      </c>
      <c r="J1077">
        <v>3.7</v>
      </c>
      <c r="K1077">
        <v>1067</v>
      </c>
      <c r="L1077">
        <v>9.0370370370370295E-2</v>
      </c>
      <c r="M1077" t="s">
        <v>103</v>
      </c>
    </row>
    <row r="1078" spans="1:13" x14ac:dyDescent="0.3">
      <c r="A1078" t="s">
        <v>2348</v>
      </c>
      <c r="B1078" t="s">
        <v>2349</v>
      </c>
      <c r="C1078" t="s">
        <v>1219</v>
      </c>
      <c r="D1078" t="s">
        <v>2051</v>
      </c>
      <c r="E1078">
        <v>1560</v>
      </c>
      <c r="F1078">
        <v>999</v>
      </c>
      <c r="G1078">
        <v>36</v>
      </c>
      <c r="H1078">
        <v>561</v>
      </c>
      <c r="I1078" t="s">
        <v>64</v>
      </c>
      <c r="J1078">
        <v>3.6</v>
      </c>
      <c r="K1078">
        <v>4881</v>
      </c>
      <c r="L1078">
        <v>8.5714285714285701E-2</v>
      </c>
      <c r="M1078" t="s">
        <v>103</v>
      </c>
    </row>
    <row r="1079" spans="1:13" x14ac:dyDescent="0.3">
      <c r="A1079" t="s">
        <v>2350</v>
      </c>
      <c r="B1079" t="s">
        <v>2351</v>
      </c>
      <c r="C1079" t="s">
        <v>1219</v>
      </c>
      <c r="D1079" t="s">
        <v>2060</v>
      </c>
      <c r="E1079">
        <v>6500</v>
      </c>
      <c r="F1079">
        <v>3299</v>
      </c>
      <c r="G1079">
        <v>49</v>
      </c>
      <c r="H1079">
        <v>3201</v>
      </c>
      <c r="I1079" t="s">
        <v>167</v>
      </c>
      <c r="J1079">
        <v>3.7</v>
      </c>
      <c r="K1079">
        <v>11217</v>
      </c>
      <c r="L1079">
        <v>0.34582628611698379</v>
      </c>
      <c r="M1079" t="s">
        <v>18</v>
      </c>
    </row>
    <row r="1080" spans="1:13" x14ac:dyDescent="0.3">
      <c r="A1080" t="s">
        <v>2352</v>
      </c>
      <c r="B1080" t="s">
        <v>2353</v>
      </c>
      <c r="C1080" t="s">
        <v>1219</v>
      </c>
      <c r="D1080" t="s">
        <v>2001</v>
      </c>
      <c r="E1080">
        <v>999</v>
      </c>
      <c r="F1080">
        <v>259</v>
      </c>
      <c r="G1080">
        <v>74</v>
      </c>
      <c r="H1080">
        <v>740</v>
      </c>
      <c r="I1080" t="s">
        <v>17</v>
      </c>
      <c r="J1080">
        <v>4</v>
      </c>
      <c r="K1080">
        <v>43</v>
      </c>
      <c r="L1080">
        <v>0.48368421052631572</v>
      </c>
      <c r="M1080" t="s">
        <v>18</v>
      </c>
    </row>
    <row r="1081" spans="1:13" x14ac:dyDescent="0.3">
      <c r="A1081" t="s">
        <v>2354</v>
      </c>
      <c r="B1081" t="s">
        <v>2355</v>
      </c>
      <c r="C1081" t="s">
        <v>1219</v>
      </c>
      <c r="D1081" t="s">
        <v>2007</v>
      </c>
      <c r="E1081">
        <v>7795</v>
      </c>
      <c r="F1081">
        <v>3249</v>
      </c>
      <c r="G1081">
        <v>58</v>
      </c>
      <c r="H1081">
        <v>4546</v>
      </c>
      <c r="I1081" t="s">
        <v>167</v>
      </c>
      <c r="J1081">
        <v>4.2</v>
      </c>
      <c r="K1081">
        <v>4664</v>
      </c>
      <c r="L1081">
        <v>0.27725274725274718</v>
      </c>
      <c r="M1081" t="s">
        <v>18</v>
      </c>
    </row>
    <row r="1082" spans="1:13" x14ac:dyDescent="0.3">
      <c r="A1082" t="s">
        <v>2356</v>
      </c>
      <c r="B1082" t="s">
        <v>2357</v>
      </c>
      <c r="C1082" t="s">
        <v>1219</v>
      </c>
      <c r="D1082" t="s">
        <v>2051</v>
      </c>
      <c r="E1082">
        <v>5995</v>
      </c>
      <c r="F1082">
        <v>4280</v>
      </c>
      <c r="G1082">
        <v>29</v>
      </c>
      <c r="H1082">
        <v>1715</v>
      </c>
      <c r="I1082" t="s">
        <v>167</v>
      </c>
      <c r="J1082">
        <v>3.8</v>
      </c>
      <c r="K1082">
        <v>2112</v>
      </c>
      <c r="L1082">
        <v>0.12815668202764971</v>
      </c>
      <c r="M1082" t="s">
        <v>18</v>
      </c>
    </row>
    <row r="1083" spans="1:13" x14ac:dyDescent="0.3">
      <c r="A1083" t="s">
        <v>2358</v>
      </c>
      <c r="B1083" t="s">
        <v>2359</v>
      </c>
      <c r="C1083" t="s">
        <v>1219</v>
      </c>
      <c r="D1083" t="s">
        <v>2360</v>
      </c>
      <c r="E1083">
        <v>299</v>
      </c>
      <c r="F1083">
        <v>189</v>
      </c>
      <c r="G1083">
        <v>37</v>
      </c>
      <c r="H1083">
        <v>110</v>
      </c>
      <c r="I1083" t="s">
        <v>17</v>
      </c>
      <c r="J1083">
        <v>4.2</v>
      </c>
      <c r="K1083">
        <v>2737</v>
      </c>
      <c r="L1083">
        <v>0.2055769230769231</v>
      </c>
      <c r="M1083" t="s">
        <v>18</v>
      </c>
    </row>
    <row r="1084" spans="1:13" x14ac:dyDescent="0.3">
      <c r="A1084" t="s">
        <v>2361</v>
      </c>
      <c r="B1084" t="s">
        <v>2362</v>
      </c>
      <c r="C1084" t="s">
        <v>1219</v>
      </c>
      <c r="D1084" t="s">
        <v>2137</v>
      </c>
      <c r="E1084">
        <v>2349</v>
      </c>
      <c r="F1084">
        <v>1449</v>
      </c>
      <c r="G1084">
        <v>38</v>
      </c>
      <c r="H1084">
        <v>900</v>
      </c>
      <c r="I1084" t="s">
        <v>64</v>
      </c>
      <c r="J1084">
        <v>3.9</v>
      </c>
      <c r="K1084">
        <v>9019</v>
      </c>
      <c r="L1084">
        <v>-0.1224999999999999</v>
      </c>
      <c r="M1084" t="s">
        <v>69</v>
      </c>
    </row>
    <row r="1085" spans="1:13" x14ac:dyDescent="0.3">
      <c r="A1085" t="s">
        <v>2363</v>
      </c>
      <c r="B1085" t="s">
        <v>2364</v>
      </c>
      <c r="C1085" t="s">
        <v>1219</v>
      </c>
      <c r="D1085" t="s">
        <v>2048</v>
      </c>
      <c r="E1085">
        <v>499</v>
      </c>
      <c r="F1085">
        <v>199</v>
      </c>
      <c r="G1085">
        <v>60</v>
      </c>
      <c r="H1085">
        <v>300</v>
      </c>
      <c r="I1085" t="s">
        <v>17</v>
      </c>
      <c r="J1085">
        <v>4</v>
      </c>
      <c r="K1085">
        <v>10234</v>
      </c>
      <c r="L1085">
        <v>0.1220982142857142</v>
      </c>
      <c r="M1085" t="s">
        <v>18</v>
      </c>
    </row>
    <row r="1086" spans="1:13" x14ac:dyDescent="0.3">
      <c r="A1086" t="s">
        <v>2365</v>
      </c>
      <c r="B1086" t="s">
        <v>2366</v>
      </c>
      <c r="C1086" t="s">
        <v>1219</v>
      </c>
      <c r="D1086" t="s">
        <v>2367</v>
      </c>
      <c r="E1086">
        <v>1299</v>
      </c>
      <c r="F1086">
        <v>474</v>
      </c>
      <c r="G1086">
        <v>64</v>
      </c>
      <c r="H1086">
        <v>825</v>
      </c>
      <c r="I1086" t="s">
        <v>17</v>
      </c>
      <c r="J1086">
        <v>4.0999999999999996</v>
      </c>
      <c r="K1086">
        <v>550</v>
      </c>
      <c r="L1086">
        <v>0.27855263157894739</v>
      </c>
      <c r="M1086" t="s">
        <v>18</v>
      </c>
    </row>
    <row r="1087" spans="1:13" x14ac:dyDescent="0.3">
      <c r="A1087" t="s">
        <v>2368</v>
      </c>
      <c r="B1087" t="s">
        <v>2369</v>
      </c>
      <c r="C1087" t="s">
        <v>1219</v>
      </c>
      <c r="D1087" t="s">
        <v>2001</v>
      </c>
      <c r="E1087">
        <v>499</v>
      </c>
      <c r="F1087">
        <v>279</v>
      </c>
      <c r="G1087">
        <v>44</v>
      </c>
      <c r="H1087">
        <v>220</v>
      </c>
      <c r="I1087" t="s">
        <v>17</v>
      </c>
      <c r="J1087">
        <v>4.8</v>
      </c>
      <c r="K1087">
        <v>28</v>
      </c>
      <c r="L1087">
        <v>0.42295918367346941</v>
      </c>
      <c r="M1087" t="s">
        <v>18</v>
      </c>
    </row>
    <row r="1088" spans="1:13" x14ac:dyDescent="0.3">
      <c r="A1088" t="s">
        <v>2370</v>
      </c>
      <c r="B1088" t="s">
        <v>2371</v>
      </c>
      <c r="C1088" t="s">
        <v>1219</v>
      </c>
      <c r="D1088" t="s">
        <v>2137</v>
      </c>
      <c r="E1088">
        <v>4775</v>
      </c>
      <c r="F1088">
        <v>1999</v>
      </c>
      <c r="G1088">
        <v>58</v>
      </c>
      <c r="H1088">
        <v>2776</v>
      </c>
      <c r="I1088" t="s">
        <v>167</v>
      </c>
      <c r="J1088">
        <v>4.2</v>
      </c>
      <c r="K1088">
        <v>1353</v>
      </c>
      <c r="L1088">
        <v>2.2222222222222199E-2</v>
      </c>
      <c r="M1088" t="s">
        <v>103</v>
      </c>
    </row>
    <row r="1089" spans="1:13" x14ac:dyDescent="0.3">
      <c r="A1089" t="s">
        <v>2372</v>
      </c>
      <c r="B1089" t="s">
        <v>2373</v>
      </c>
      <c r="C1089" t="s">
        <v>1219</v>
      </c>
      <c r="D1089" t="s">
        <v>1975</v>
      </c>
      <c r="E1089">
        <v>1230</v>
      </c>
      <c r="F1089">
        <v>799</v>
      </c>
      <c r="G1089">
        <v>35</v>
      </c>
      <c r="H1089">
        <v>431</v>
      </c>
      <c r="I1089" t="s">
        <v>64</v>
      </c>
      <c r="J1089">
        <v>4.0999999999999996</v>
      </c>
      <c r="K1089">
        <v>2138</v>
      </c>
      <c r="L1089">
        <v>0.39756410256410257</v>
      </c>
      <c r="M1089" t="s">
        <v>18</v>
      </c>
    </row>
    <row r="1090" spans="1:13" x14ac:dyDescent="0.3">
      <c r="A1090" t="s">
        <v>2374</v>
      </c>
      <c r="B1090" t="s">
        <v>2375</v>
      </c>
      <c r="C1090" t="s">
        <v>1219</v>
      </c>
      <c r="D1090" t="s">
        <v>2114</v>
      </c>
      <c r="E1090">
        <v>1999</v>
      </c>
      <c r="F1090">
        <v>949</v>
      </c>
      <c r="G1090">
        <v>53</v>
      </c>
      <c r="H1090">
        <v>1050</v>
      </c>
      <c r="I1090" t="s">
        <v>64</v>
      </c>
      <c r="J1090">
        <v>4</v>
      </c>
      <c r="K1090">
        <v>1679</v>
      </c>
      <c r="L1090">
        <v>0.42275793650793653</v>
      </c>
      <c r="M1090" t="s">
        <v>18</v>
      </c>
    </row>
    <row r="1091" spans="1:13" x14ac:dyDescent="0.3">
      <c r="A1091" t="s">
        <v>2376</v>
      </c>
      <c r="B1091" t="s">
        <v>2377</v>
      </c>
      <c r="C1091" t="s">
        <v>1219</v>
      </c>
      <c r="D1091" t="s">
        <v>2378</v>
      </c>
      <c r="E1091">
        <v>5156</v>
      </c>
      <c r="F1091">
        <v>3657.66</v>
      </c>
      <c r="G1091">
        <v>29</v>
      </c>
      <c r="H1091">
        <v>1498.34</v>
      </c>
      <c r="I1091" t="s">
        <v>167</v>
      </c>
      <c r="J1091">
        <v>3.9</v>
      </c>
      <c r="K1091">
        <v>12837</v>
      </c>
      <c r="L1091">
        <v>0.49958333333333338</v>
      </c>
      <c r="M1091" t="s">
        <v>18</v>
      </c>
    </row>
    <row r="1092" spans="1:13" x14ac:dyDescent="0.3">
      <c r="A1092" t="s">
        <v>2379</v>
      </c>
      <c r="B1092" t="s">
        <v>2380</v>
      </c>
      <c r="C1092" t="s">
        <v>1219</v>
      </c>
      <c r="D1092" t="s">
        <v>2381</v>
      </c>
      <c r="E1092">
        <v>1999</v>
      </c>
      <c r="F1092">
        <v>1699</v>
      </c>
      <c r="G1092">
        <v>15</v>
      </c>
      <c r="H1092">
        <v>300</v>
      </c>
      <c r="I1092" t="s">
        <v>167</v>
      </c>
      <c r="J1092">
        <v>4.0999999999999996</v>
      </c>
      <c r="K1092">
        <v>8873</v>
      </c>
      <c r="L1092">
        <v>0.2875462962962963</v>
      </c>
      <c r="M1092" t="s">
        <v>18</v>
      </c>
    </row>
    <row r="1093" spans="1:13" x14ac:dyDescent="0.3">
      <c r="A1093" t="s">
        <v>2382</v>
      </c>
      <c r="B1093" t="s">
        <v>2383</v>
      </c>
      <c r="C1093" t="s">
        <v>1219</v>
      </c>
      <c r="D1093" t="s">
        <v>2051</v>
      </c>
      <c r="E1093">
        <v>2095</v>
      </c>
      <c r="F1093">
        <v>1849</v>
      </c>
      <c r="G1093">
        <v>12</v>
      </c>
      <c r="H1093">
        <v>246</v>
      </c>
      <c r="I1093" t="s">
        <v>167</v>
      </c>
      <c r="J1093">
        <v>4.3</v>
      </c>
      <c r="K1093">
        <v>7681</v>
      </c>
      <c r="L1093">
        <v>0.32727777777777772</v>
      </c>
      <c r="M1093" t="s">
        <v>18</v>
      </c>
    </row>
    <row r="1094" spans="1:13" x14ac:dyDescent="0.3">
      <c r="A1094" t="s">
        <v>2384</v>
      </c>
      <c r="B1094" t="s">
        <v>2385</v>
      </c>
      <c r="C1094" t="s">
        <v>1219</v>
      </c>
      <c r="D1094" t="s">
        <v>1972</v>
      </c>
      <c r="E1094">
        <v>19825</v>
      </c>
      <c r="F1094">
        <v>12499</v>
      </c>
      <c r="G1094">
        <v>37</v>
      </c>
      <c r="H1094">
        <v>7326</v>
      </c>
      <c r="I1094" t="s">
        <v>55</v>
      </c>
      <c r="J1094">
        <v>4.0999999999999996</v>
      </c>
      <c r="K1094">
        <v>322</v>
      </c>
      <c r="L1094">
        <v>6.02933673469387E-2</v>
      </c>
      <c r="M1094" t="s">
        <v>103</v>
      </c>
    </row>
    <row r="1095" spans="1:13" x14ac:dyDescent="0.3">
      <c r="A1095" t="s">
        <v>2386</v>
      </c>
      <c r="B1095" t="s">
        <v>2387</v>
      </c>
      <c r="C1095" t="s">
        <v>1219</v>
      </c>
      <c r="D1095" t="s">
        <v>2004</v>
      </c>
      <c r="E1095">
        <v>1920</v>
      </c>
      <c r="F1095">
        <v>1099</v>
      </c>
      <c r="G1095">
        <v>43</v>
      </c>
      <c r="H1095">
        <v>821</v>
      </c>
      <c r="I1095" t="s">
        <v>64</v>
      </c>
      <c r="J1095">
        <v>4.2</v>
      </c>
      <c r="K1095">
        <v>9772</v>
      </c>
      <c r="L1095">
        <v>0.60555555555555551</v>
      </c>
      <c r="M1095" t="s">
        <v>18</v>
      </c>
    </row>
    <row r="1096" spans="1:13" x14ac:dyDescent="0.3">
      <c r="A1096" t="s">
        <v>2388</v>
      </c>
      <c r="B1096" t="s">
        <v>2389</v>
      </c>
      <c r="C1096" t="s">
        <v>1219</v>
      </c>
      <c r="D1096" t="s">
        <v>2311</v>
      </c>
      <c r="E1096">
        <v>16000</v>
      </c>
      <c r="F1096">
        <v>8199</v>
      </c>
      <c r="G1096">
        <v>49</v>
      </c>
      <c r="H1096">
        <v>7801</v>
      </c>
      <c r="I1096" t="s">
        <v>55</v>
      </c>
      <c r="J1096">
        <v>3.9</v>
      </c>
      <c r="K1096">
        <v>18497</v>
      </c>
      <c r="L1096">
        <v>2.12301587301587E-2</v>
      </c>
      <c r="M1096" t="s">
        <v>103</v>
      </c>
    </row>
    <row r="1097" spans="1:13" x14ac:dyDescent="0.3">
      <c r="A1097" t="s">
        <v>2390</v>
      </c>
      <c r="B1097" t="s">
        <v>2391</v>
      </c>
      <c r="C1097" t="s">
        <v>1219</v>
      </c>
      <c r="D1097" t="s">
        <v>2060</v>
      </c>
      <c r="E1097">
        <v>2199</v>
      </c>
      <c r="F1097">
        <v>499</v>
      </c>
      <c r="G1097">
        <v>77</v>
      </c>
      <c r="H1097">
        <v>1700</v>
      </c>
      <c r="I1097" t="s">
        <v>17</v>
      </c>
      <c r="J1097">
        <v>3.7</v>
      </c>
      <c r="K1097">
        <v>53</v>
      </c>
      <c r="L1097">
        <v>0.42499999999999999</v>
      </c>
      <c r="M1097" t="s">
        <v>18</v>
      </c>
    </row>
    <row r="1098" spans="1:13" x14ac:dyDescent="0.3">
      <c r="A1098" t="s">
        <v>2392</v>
      </c>
      <c r="B1098" t="s">
        <v>2393</v>
      </c>
      <c r="C1098" t="s">
        <v>1219</v>
      </c>
      <c r="D1098" t="s">
        <v>2067</v>
      </c>
      <c r="E1098">
        <v>14999</v>
      </c>
      <c r="F1098">
        <v>6999</v>
      </c>
      <c r="G1098">
        <v>53</v>
      </c>
      <c r="H1098">
        <v>8000</v>
      </c>
      <c r="I1098" t="s">
        <v>55</v>
      </c>
      <c r="J1098">
        <v>4.0999999999999996</v>
      </c>
      <c r="K1098">
        <v>1728</v>
      </c>
      <c r="L1098">
        <v>0.17053571428571421</v>
      </c>
      <c r="M1098" t="s">
        <v>18</v>
      </c>
    </row>
    <row r="1099" spans="1:13" x14ac:dyDescent="0.3">
      <c r="A1099" t="s">
        <v>2394</v>
      </c>
      <c r="B1099" t="s">
        <v>2395</v>
      </c>
      <c r="C1099" t="s">
        <v>1219</v>
      </c>
      <c r="D1099" t="s">
        <v>2134</v>
      </c>
      <c r="E1099">
        <v>1799</v>
      </c>
      <c r="F1099">
        <v>1595</v>
      </c>
      <c r="G1099">
        <v>11</v>
      </c>
      <c r="H1099">
        <v>204</v>
      </c>
      <c r="I1099" t="s">
        <v>167</v>
      </c>
      <c r="J1099">
        <v>4</v>
      </c>
      <c r="K1099">
        <v>2877</v>
      </c>
      <c r="L1099">
        <v>0.40833333333333338</v>
      </c>
      <c r="M1099" t="s">
        <v>18</v>
      </c>
    </row>
    <row r="1100" spans="1:13" x14ac:dyDescent="0.3">
      <c r="A1100" t="s">
        <v>2396</v>
      </c>
      <c r="B1100" t="s">
        <v>2397</v>
      </c>
      <c r="C1100" t="s">
        <v>1219</v>
      </c>
      <c r="D1100" t="s">
        <v>2004</v>
      </c>
      <c r="E1100">
        <v>1950</v>
      </c>
      <c r="F1100">
        <v>1049</v>
      </c>
      <c r="G1100">
        <v>46</v>
      </c>
      <c r="H1100">
        <v>901</v>
      </c>
      <c r="I1100" t="s">
        <v>64</v>
      </c>
      <c r="J1100">
        <v>3.8</v>
      </c>
      <c r="K1100">
        <v>250</v>
      </c>
      <c r="L1100">
        <v>0.17587412587412579</v>
      </c>
      <c r="M1100" t="s">
        <v>18</v>
      </c>
    </row>
    <row r="1101" spans="1:13" x14ac:dyDescent="0.3">
      <c r="A1101" t="s">
        <v>2398</v>
      </c>
      <c r="B1101" t="s">
        <v>2399</v>
      </c>
      <c r="C1101" t="s">
        <v>1219</v>
      </c>
      <c r="D1101" t="s">
        <v>2020</v>
      </c>
      <c r="E1101">
        <v>2995</v>
      </c>
      <c r="F1101">
        <v>1182</v>
      </c>
      <c r="G1101">
        <v>61</v>
      </c>
      <c r="H1101">
        <v>1813</v>
      </c>
      <c r="I1101" t="s">
        <v>64</v>
      </c>
      <c r="J1101">
        <v>4.2</v>
      </c>
      <c r="K1101">
        <v>5178</v>
      </c>
      <c r="L1101">
        <v>0.31291666666666662</v>
      </c>
      <c r="M1101" t="s">
        <v>18</v>
      </c>
    </row>
    <row r="1102" spans="1:13" x14ac:dyDescent="0.3">
      <c r="A1102" t="s">
        <v>2400</v>
      </c>
      <c r="B1102" t="s">
        <v>2401</v>
      </c>
      <c r="C1102" t="s">
        <v>1219</v>
      </c>
      <c r="D1102" t="s">
        <v>1975</v>
      </c>
      <c r="E1102">
        <v>999</v>
      </c>
      <c r="F1102">
        <v>499</v>
      </c>
      <c r="G1102">
        <v>50</v>
      </c>
      <c r="H1102">
        <v>500</v>
      </c>
      <c r="I1102" t="s">
        <v>17</v>
      </c>
      <c r="J1102">
        <v>4.5999999999999996</v>
      </c>
      <c r="K1102">
        <v>79</v>
      </c>
      <c r="L1102">
        <v>0.41270319353070167</v>
      </c>
      <c r="M1102" t="s">
        <v>18</v>
      </c>
    </row>
    <row r="1103" spans="1:13" x14ac:dyDescent="0.3">
      <c r="A1103" t="s">
        <v>2402</v>
      </c>
      <c r="B1103" t="s">
        <v>2403</v>
      </c>
      <c r="C1103" t="s">
        <v>1219</v>
      </c>
      <c r="D1103" t="s">
        <v>2308</v>
      </c>
      <c r="E1103">
        <v>11995</v>
      </c>
      <c r="F1103">
        <v>8799</v>
      </c>
      <c r="G1103">
        <v>27</v>
      </c>
      <c r="H1103">
        <v>3196</v>
      </c>
      <c r="I1103" t="s">
        <v>55</v>
      </c>
      <c r="J1103">
        <v>4.0999999999999996</v>
      </c>
      <c r="K1103">
        <v>4157</v>
      </c>
      <c r="L1103">
        <v>7.9107215007215001E-2</v>
      </c>
      <c r="M1103" t="s">
        <v>103</v>
      </c>
    </row>
    <row r="1104" spans="1:13" x14ac:dyDescent="0.3">
      <c r="A1104" t="s">
        <v>2404</v>
      </c>
      <c r="B1104" t="s">
        <v>2405</v>
      </c>
      <c r="C1104" t="s">
        <v>1219</v>
      </c>
      <c r="D1104" t="s">
        <v>1969</v>
      </c>
      <c r="E1104">
        <v>2999</v>
      </c>
      <c r="F1104">
        <v>1529</v>
      </c>
      <c r="G1104">
        <v>49</v>
      </c>
      <c r="H1104">
        <v>1470</v>
      </c>
      <c r="I1104" t="s">
        <v>167</v>
      </c>
      <c r="J1104">
        <v>3.3</v>
      </c>
      <c r="K1104">
        <v>29</v>
      </c>
      <c r="L1104">
        <v>0.319312692138779</v>
      </c>
      <c r="M1104" t="s">
        <v>18</v>
      </c>
    </row>
    <row r="1105" spans="1:13" x14ac:dyDescent="0.3">
      <c r="A1105" t="s">
        <v>2406</v>
      </c>
      <c r="B1105" t="s">
        <v>2407</v>
      </c>
      <c r="C1105" t="s">
        <v>1219</v>
      </c>
      <c r="D1105" t="s">
        <v>2004</v>
      </c>
      <c r="E1105">
        <v>1690</v>
      </c>
      <c r="F1105">
        <v>1199</v>
      </c>
      <c r="G1105">
        <v>29</v>
      </c>
      <c r="H1105">
        <v>491</v>
      </c>
      <c r="I1105" t="s">
        <v>64</v>
      </c>
      <c r="J1105">
        <v>4.2</v>
      </c>
      <c r="K1105">
        <v>4580</v>
      </c>
      <c r="L1105">
        <v>0.18466666666666659</v>
      </c>
      <c r="M1105" t="s">
        <v>18</v>
      </c>
    </row>
    <row r="1106" spans="1:13" x14ac:dyDescent="0.3">
      <c r="A1106" t="s">
        <v>2408</v>
      </c>
      <c r="B1106" t="s">
        <v>2409</v>
      </c>
      <c r="C1106" t="s">
        <v>1219</v>
      </c>
      <c r="D1106" t="s">
        <v>2080</v>
      </c>
      <c r="E1106">
        <v>1790</v>
      </c>
      <c r="F1106">
        <v>1052</v>
      </c>
      <c r="G1106">
        <v>41</v>
      </c>
      <c r="H1106">
        <v>738</v>
      </c>
      <c r="I1106" t="s">
        <v>64</v>
      </c>
      <c r="J1106">
        <v>4.3</v>
      </c>
      <c r="K1106">
        <v>1404</v>
      </c>
      <c r="L1106">
        <v>0.22432291666666659</v>
      </c>
      <c r="M1106" t="s">
        <v>18</v>
      </c>
    </row>
    <row r="1107" spans="1:13" x14ac:dyDescent="0.3">
      <c r="A1107" t="s">
        <v>2410</v>
      </c>
      <c r="B1107" t="s">
        <v>2411</v>
      </c>
      <c r="C1107" t="s">
        <v>1219</v>
      </c>
      <c r="D1107" t="s">
        <v>2412</v>
      </c>
      <c r="E1107">
        <v>8995</v>
      </c>
      <c r="F1107">
        <v>6499</v>
      </c>
      <c r="G1107">
        <v>28</v>
      </c>
      <c r="H1107">
        <v>2496</v>
      </c>
      <c r="I1107" t="s">
        <v>55</v>
      </c>
      <c r="J1107">
        <v>4.3</v>
      </c>
      <c r="K1107">
        <v>2810</v>
      </c>
      <c r="L1107">
        <v>0.21065422965013131</v>
      </c>
      <c r="M1107" t="s">
        <v>18</v>
      </c>
    </row>
    <row r="1108" spans="1:13" x14ac:dyDescent="0.3">
      <c r="A1108" t="s">
        <v>2413</v>
      </c>
      <c r="B1108" t="s">
        <v>2414</v>
      </c>
      <c r="C1108" t="s">
        <v>1219</v>
      </c>
      <c r="D1108" t="s">
        <v>2125</v>
      </c>
      <c r="E1108">
        <v>239</v>
      </c>
      <c r="F1108">
        <v>239</v>
      </c>
      <c r="G1108">
        <v>0</v>
      </c>
      <c r="H1108">
        <v>0</v>
      </c>
      <c r="I1108" t="s">
        <v>17</v>
      </c>
      <c r="J1108">
        <v>4.3</v>
      </c>
      <c r="K1108">
        <v>7</v>
      </c>
      <c r="L1108">
        <v>0.3725</v>
      </c>
      <c r="M1108" t="s">
        <v>18</v>
      </c>
    </row>
    <row r="1109" spans="1:13" x14ac:dyDescent="0.3">
      <c r="A1109" t="s">
        <v>2415</v>
      </c>
      <c r="B1109" t="s">
        <v>2416</v>
      </c>
      <c r="C1109" t="s">
        <v>1219</v>
      </c>
      <c r="D1109" t="s">
        <v>2001</v>
      </c>
      <c r="E1109">
        <v>1599</v>
      </c>
      <c r="F1109">
        <v>699</v>
      </c>
      <c r="G1109">
        <v>56</v>
      </c>
      <c r="H1109">
        <v>900</v>
      </c>
      <c r="I1109" t="s">
        <v>64</v>
      </c>
      <c r="J1109">
        <v>4.7</v>
      </c>
      <c r="K1109">
        <v>1729</v>
      </c>
      <c r="L1109">
        <v>0.50259259259259259</v>
      </c>
      <c r="M1109" t="s">
        <v>18</v>
      </c>
    </row>
    <row r="1110" spans="1:13" x14ac:dyDescent="0.3">
      <c r="A1110" t="s">
        <v>2417</v>
      </c>
      <c r="B1110" t="s">
        <v>2418</v>
      </c>
      <c r="C1110" t="s">
        <v>1219</v>
      </c>
      <c r="D1110" t="s">
        <v>2419</v>
      </c>
      <c r="E1110">
        <v>4290</v>
      </c>
      <c r="F1110">
        <v>2599</v>
      </c>
      <c r="G1110">
        <v>39</v>
      </c>
      <c r="H1110">
        <v>1691</v>
      </c>
      <c r="I1110" t="s">
        <v>167</v>
      </c>
      <c r="J1110">
        <v>4.4000000000000004</v>
      </c>
      <c r="K1110">
        <v>2116</v>
      </c>
      <c r="L1110">
        <v>0.2299797979797979</v>
      </c>
      <c r="M1110" t="s">
        <v>18</v>
      </c>
    </row>
    <row r="1111" spans="1:13" x14ac:dyDescent="0.3">
      <c r="A1111" t="s">
        <v>2420</v>
      </c>
      <c r="B1111" t="s">
        <v>2421</v>
      </c>
      <c r="C1111" t="s">
        <v>1219</v>
      </c>
      <c r="D1111" t="s">
        <v>2067</v>
      </c>
      <c r="E1111">
        <v>2890</v>
      </c>
      <c r="F1111">
        <v>1547</v>
      </c>
      <c r="G1111">
        <v>46</v>
      </c>
      <c r="H1111">
        <v>1343</v>
      </c>
      <c r="I1111" t="s">
        <v>167</v>
      </c>
      <c r="J1111">
        <v>3.9</v>
      </c>
      <c r="K1111">
        <v>463</v>
      </c>
      <c r="L1111">
        <v>6.5388257575757502E-2</v>
      </c>
      <c r="M1111" t="s">
        <v>103</v>
      </c>
    </row>
    <row r="1112" spans="1:13" x14ac:dyDescent="0.3">
      <c r="A1112" t="s">
        <v>2422</v>
      </c>
      <c r="B1112" t="s">
        <v>2423</v>
      </c>
      <c r="C1112" t="s">
        <v>1219</v>
      </c>
      <c r="D1112" t="s">
        <v>2001</v>
      </c>
      <c r="E1112">
        <v>1299</v>
      </c>
      <c r="F1112">
        <v>499</v>
      </c>
      <c r="G1112">
        <v>62</v>
      </c>
      <c r="H1112">
        <v>800</v>
      </c>
      <c r="I1112" t="s">
        <v>17</v>
      </c>
      <c r="J1112">
        <v>4.7</v>
      </c>
      <c r="K1112">
        <v>54</v>
      </c>
      <c r="L1112">
        <v>0.35769841269841268</v>
      </c>
      <c r="M1112" t="s">
        <v>18</v>
      </c>
    </row>
    <row r="1113" spans="1:13" x14ac:dyDescent="0.3">
      <c r="A1113" t="s">
        <v>2424</v>
      </c>
      <c r="B1113" t="s">
        <v>2425</v>
      </c>
      <c r="C1113" t="s">
        <v>1219</v>
      </c>
      <c r="D1113" t="s">
        <v>2038</v>
      </c>
      <c r="E1113">
        <v>640</v>
      </c>
      <c r="F1113">
        <v>510</v>
      </c>
      <c r="G1113">
        <v>20</v>
      </c>
      <c r="H1113">
        <v>130</v>
      </c>
      <c r="I1113" t="s">
        <v>64</v>
      </c>
      <c r="J1113">
        <v>4.0999999999999996</v>
      </c>
      <c r="K1113">
        <v>7229</v>
      </c>
      <c r="L1113">
        <v>0.60833333333333328</v>
      </c>
      <c r="M1113" t="s">
        <v>18</v>
      </c>
    </row>
    <row r="1114" spans="1:13" x14ac:dyDescent="0.3">
      <c r="A1114" t="s">
        <v>2426</v>
      </c>
      <c r="B1114" t="s">
        <v>2427</v>
      </c>
      <c r="C1114" t="s">
        <v>1219</v>
      </c>
      <c r="D1114" t="s">
        <v>2010</v>
      </c>
      <c r="E1114">
        <v>3790</v>
      </c>
      <c r="F1114">
        <v>1899</v>
      </c>
      <c r="G1114">
        <v>50</v>
      </c>
      <c r="H1114">
        <v>1891</v>
      </c>
      <c r="I1114" t="s">
        <v>167</v>
      </c>
      <c r="J1114">
        <v>3.8</v>
      </c>
      <c r="K1114">
        <v>3842</v>
      </c>
      <c r="L1114">
        <v>0.18666666666666659</v>
      </c>
      <c r="M1114" t="s">
        <v>18</v>
      </c>
    </row>
    <row r="1115" spans="1:13" x14ac:dyDescent="0.3">
      <c r="A1115" t="s">
        <v>2428</v>
      </c>
      <c r="B1115" t="s">
        <v>2429</v>
      </c>
      <c r="C1115" t="s">
        <v>1219</v>
      </c>
      <c r="D1115" t="s">
        <v>2010</v>
      </c>
      <c r="E1115">
        <v>4560</v>
      </c>
      <c r="F1115">
        <v>2599</v>
      </c>
      <c r="G1115">
        <v>43</v>
      </c>
      <c r="H1115">
        <v>1961</v>
      </c>
      <c r="I1115" t="s">
        <v>167</v>
      </c>
      <c r="J1115">
        <v>4.4000000000000004</v>
      </c>
      <c r="K1115">
        <v>646</v>
      </c>
      <c r="L1115">
        <v>0.3691228070175438</v>
      </c>
      <c r="M1115" t="s">
        <v>18</v>
      </c>
    </row>
    <row r="1116" spans="1:13" x14ac:dyDescent="0.3">
      <c r="A1116" t="s">
        <v>2430</v>
      </c>
      <c r="B1116" t="s">
        <v>2431</v>
      </c>
      <c r="C1116" t="s">
        <v>1219</v>
      </c>
      <c r="D1116" t="s">
        <v>2080</v>
      </c>
      <c r="E1116">
        <v>3500</v>
      </c>
      <c r="F1116">
        <v>1199</v>
      </c>
      <c r="G1116">
        <v>66</v>
      </c>
      <c r="H1116">
        <v>2301</v>
      </c>
      <c r="I1116" t="s">
        <v>64</v>
      </c>
      <c r="J1116">
        <v>4.3</v>
      </c>
      <c r="K1116">
        <v>1802</v>
      </c>
      <c r="L1116">
        <v>0.36625000000000008</v>
      </c>
      <c r="M1116" t="s">
        <v>18</v>
      </c>
    </row>
    <row r="1117" spans="1:13" x14ac:dyDescent="0.3">
      <c r="A1117" t="s">
        <v>2432</v>
      </c>
      <c r="B1117" t="s">
        <v>2433</v>
      </c>
      <c r="C1117" t="s">
        <v>1219</v>
      </c>
      <c r="D1117" t="s">
        <v>2010</v>
      </c>
      <c r="E1117">
        <v>2600</v>
      </c>
      <c r="F1117">
        <v>999</v>
      </c>
      <c r="G1117">
        <v>62</v>
      </c>
      <c r="H1117">
        <v>1601</v>
      </c>
      <c r="I1117" t="s">
        <v>64</v>
      </c>
      <c r="J1117">
        <v>3.4</v>
      </c>
      <c r="K1117">
        <v>252</v>
      </c>
      <c r="L1117">
        <v>0.29791666666666661</v>
      </c>
      <c r="M1117" t="s">
        <v>18</v>
      </c>
    </row>
    <row r="1118" spans="1:13" x14ac:dyDescent="0.3">
      <c r="A1118" t="s">
        <v>2434</v>
      </c>
      <c r="B1118" t="s">
        <v>2435</v>
      </c>
      <c r="C1118" t="s">
        <v>1219</v>
      </c>
      <c r="D1118" t="s">
        <v>1992</v>
      </c>
      <c r="E1118">
        <v>3300</v>
      </c>
      <c r="F1118">
        <v>1999</v>
      </c>
      <c r="G1118">
        <v>39</v>
      </c>
      <c r="H1118">
        <v>1301</v>
      </c>
      <c r="I1118" t="s">
        <v>167</v>
      </c>
      <c r="J1118">
        <v>4.2</v>
      </c>
      <c r="K1118">
        <v>780</v>
      </c>
      <c r="L1118">
        <v>0.33183673469387759</v>
      </c>
      <c r="M1118" t="s">
        <v>18</v>
      </c>
    </row>
    <row r="1119" spans="1:13" x14ac:dyDescent="0.3">
      <c r="A1119" t="s">
        <v>2436</v>
      </c>
      <c r="B1119" t="s">
        <v>2437</v>
      </c>
      <c r="C1119" t="s">
        <v>1219</v>
      </c>
      <c r="D1119" t="s">
        <v>2001</v>
      </c>
      <c r="E1119">
        <v>699</v>
      </c>
      <c r="F1119">
        <v>210</v>
      </c>
      <c r="G1119">
        <v>70</v>
      </c>
      <c r="H1119">
        <v>489</v>
      </c>
      <c r="I1119" t="s">
        <v>17</v>
      </c>
      <c r="J1119">
        <v>3.7</v>
      </c>
      <c r="K1119">
        <v>74</v>
      </c>
      <c r="L1119">
        <v>0.4050555555555555</v>
      </c>
      <c r="M1119" t="s">
        <v>18</v>
      </c>
    </row>
    <row r="1120" spans="1:13" x14ac:dyDescent="0.3">
      <c r="A1120" t="s">
        <v>2438</v>
      </c>
      <c r="B1120" t="s">
        <v>2439</v>
      </c>
      <c r="C1120" t="s">
        <v>1219</v>
      </c>
      <c r="D1120" t="s">
        <v>2308</v>
      </c>
      <c r="E1120">
        <v>23559</v>
      </c>
      <c r="F1120">
        <v>14499</v>
      </c>
      <c r="G1120">
        <v>38</v>
      </c>
      <c r="H1120">
        <v>9060</v>
      </c>
      <c r="I1120" t="s">
        <v>55</v>
      </c>
      <c r="J1120">
        <v>4.3</v>
      </c>
      <c r="K1120">
        <v>2026</v>
      </c>
      <c r="L1120">
        <v>0.22865497076023389</v>
      </c>
      <c r="M1120" t="s">
        <v>18</v>
      </c>
    </row>
    <row r="1121" spans="1:13" x14ac:dyDescent="0.3">
      <c r="A1121" t="s">
        <v>2440</v>
      </c>
      <c r="B1121" t="s">
        <v>2441</v>
      </c>
      <c r="C1121" t="s">
        <v>1219</v>
      </c>
      <c r="D1121" t="s">
        <v>2048</v>
      </c>
      <c r="E1121">
        <v>1599</v>
      </c>
      <c r="F1121">
        <v>950</v>
      </c>
      <c r="G1121">
        <v>41</v>
      </c>
      <c r="H1121">
        <v>649</v>
      </c>
      <c r="I1121" t="s">
        <v>64</v>
      </c>
      <c r="J1121">
        <v>4.3</v>
      </c>
      <c r="K1121">
        <v>5911</v>
      </c>
      <c r="L1121">
        <v>0.24531249999999999</v>
      </c>
      <c r="M1121" t="s">
        <v>18</v>
      </c>
    </row>
    <row r="1122" spans="1:13" x14ac:dyDescent="0.3">
      <c r="A1122" t="s">
        <v>2442</v>
      </c>
      <c r="B1122" t="s">
        <v>2443</v>
      </c>
      <c r="C1122" t="s">
        <v>1219</v>
      </c>
      <c r="D1122" t="s">
        <v>2045</v>
      </c>
      <c r="E1122">
        <v>9995</v>
      </c>
      <c r="F1122">
        <v>7199</v>
      </c>
      <c r="G1122">
        <v>28</v>
      </c>
      <c r="H1122">
        <v>2796</v>
      </c>
      <c r="I1122" t="s">
        <v>55</v>
      </c>
      <c r="J1122">
        <v>4.4000000000000004</v>
      </c>
      <c r="K1122">
        <v>1964</v>
      </c>
      <c r="L1122">
        <v>0.21558248299319721</v>
      </c>
      <c r="M1122" t="s">
        <v>18</v>
      </c>
    </row>
    <row r="1123" spans="1:13" x14ac:dyDescent="0.3">
      <c r="A1123" t="s">
        <v>2444</v>
      </c>
      <c r="B1123" t="s">
        <v>2445</v>
      </c>
      <c r="C1123" t="s">
        <v>1219</v>
      </c>
      <c r="D1123" t="s">
        <v>1969</v>
      </c>
      <c r="E1123">
        <v>2545</v>
      </c>
      <c r="F1123">
        <v>2439</v>
      </c>
      <c r="G1123">
        <v>4</v>
      </c>
      <c r="H1123">
        <v>106</v>
      </c>
      <c r="I1123" t="s">
        <v>167</v>
      </c>
      <c r="J1123">
        <v>4.0999999999999996</v>
      </c>
      <c r="K1123">
        <v>25</v>
      </c>
      <c r="L1123">
        <v>-0.22500000000000001</v>
      </c>
      <c r="M1123" t="s">
        <v>69</v>
      </c>
    </row>
    <row r="1124" spans="1:13" x14ac:dyDescent="0.3">
      <c r="A1124" t="s">
        <v>2446</v>
      </c>
      <c r="B1124" t="s">
        <v>2447</v>
      </c>
      <c r="C1124" t="s">
        <v>1219</v>
      </c>
      <c r="D1124" t="s">
        <v>2051</v>
      </c>
      <c r="E1124">
        <v>8995</v>
      </c>
      <c r="F1124">
        <v>7799</v>
      </c>
      <c r="G1124">
        <v>13</v>
      </c>
      <c r="H1124">
        <v>1196</v>
      </c>
      <c r="I1124" t="s">
        <v>55</v>
      </c>
      <c r="J1124">
        <v>4</v>
      </c>
      <c r="K1124">
        <v>3160</v>
      </c>
      <c r="L1124">
        <v>5.3813797313797297E-2</v>
      </c>
      <c r="M1124" t="s">
        <v>103</v>
      </c>
    </row>
    <row r="1125" spans="1:13" x14ac:dyDescent="0.3">
      <c r="A1125" t="s">
        <v>2448</v>
      </c>
      <c r="B1125" t="s">
        <v>2449</v>
      </c>
      <c r="C1125" t="s">
        <v>1219</v>
      </c>
      <c r="D1125" t="s">
        <v>2114</v>
      </c>
      <c r="E1125">
        <v>1999</v>
      </c>
      <c r="F1125">
        <v>1599</v>
      </c>
      <c r="G1125">
        <v>20</v>
      </c>
      <c r="H1125">
        <v>400</v>
      </c>
      <c r="I1125" t="s">
        <v>167</v>
      </c>
      <c r="J1125">
        <v>4.4000000000000004</v>
      </c>
      <c r="K1125">
        <v>1558</v>
      </c>
      <c r="L1125">
        <v>0.2176862026862027</v>
      </c>
      <c r="M1125" t="s">
        <v>18</v>
      </c>
    </row>
    <row r="1126" spans="1:13" x14ac:dyDescent="0.3">
      <c r="A1126" t="s">
        <v>2450</v>
      </c>
      <c r="B1126" t="s">
        <v>2451</v>
      </c>
      <c r="C1126" t="s">
        <v>1219</v>
      </c>
      <c r="D1126" t="s">
        <v>2007</v>
      </c>
      <c r="E1126">
        <v>5500</v>
      </c>
      <c r="F1126">
        <v>2899</v>
      </c>
      <c r="G1126">
        <v>47</v>
      </c>
      <c r="H1126">
        <v>2601</v>
      </c>
      <c r="I1126" t="s">
        <v>167</v>
      </c>
      <c r="J1126">
        <v>3.8</v>
      </c>
      <c r="K1126">
        <v>8958</v>
      </c>
      <c r="L1126">
        <v>-2.5490196078431001E-3</v>
      </c>
      <c r="M1126" t="s">
        <v>103</v>
      </c>
    </row>
    <row r="1127" spans="1:13" x14ac:dyDescent="0.3">
      <c r="A1127" t="s">
        <v>2452</v>
      </c>
      <c r="B1127" t="s">
        <v>2453</v>
      </c>
      <c r="C1127" t="s">
        <v>1219</v>
      </c>
      <c r="D1127" t="s">
        <v>2347</v>
      </c>
      <c r="E1127">
        <v>12150</v>
      </c>
      <c r="F1127">
        <v>9799</v>
      </c>
      <c r="G1127">
        <v>19</v>
      </c>
      <c r="H1127">
        <v>2351</v>
      </c>
      <c r="I1127" t="s">
        <v>55</v>
      </c>
      <c r="J1127">
        <v>4.3</v>
      </c>
      <c r="K1127">
        <v>13251</v>
      </c>
      <c r="L1127">
        <v>0.19476190476190469</v>
      </c>
      <c r="M1127" t="s">
        <v>18</v>
      </c>
    </row>
    <row r="1128" spans="1:13" x14ac:dyDescent="0.3">
      <c r="A1128" t="s">
        <v>2454</v>
      </c>
      <c r="B1128" t="s">
        <v>2455</v>
      </c>
      <c r="C1128" t="s">
        <v>1219</v>
      </c>
      <c r="D1128" t="s">
        <v>2051</v>
      </c>
      <c r="E1128">
        <v>4995</v>
      </c>
      <c r="F1128">
        <v>3299</v>
      </c>
      <c r="G1128">
        <v>34</v>
      </c>
      <c r="H1128">
        <v>1696</v>
      </c>
      <c r="I1128" t="s">
        <v>167</v>
      </c>
      <c r="J1128">
        <v>3.8</v>
      </c>
      <c r="K1128">
        <v>1393</v>
      </c>
      <c r="L1128">
        <v>0.20144118844118841</v>
      </c>
      <c r="M1128" t="s">
        <v>18</v>
      </c>
    </row>
    <row r="1129" spans="1:13" x14ac:dyDescent="0.3">
      <c r="A1129" t="s">
        <v>2456</v>
      </c>
      <c r="B1129" t="s">
        <v>2457</v>
      </c>
      <c r="C1129" t="s">
        <v>1219</v>
      </c>
      <c r="D1129" t="s">
        <v>2001</v>
      </c>
      <c r="E1129">
        <v>1499</v>
      </c>
      <c r="F1129">
        <v>669</v>
      </c>
      <c r="G1129">
        <v>55</v>
      </c>
      <c r="H1129">
        <v>830</v>
      </c>
      <c r="I1129" t="s">
        <v>64</v>
      </c>
      <c r="J1129">
        <v>2.2999999999999998</v>
      </c>
      <c r="K1129">
        <v>13</v>
      </c>
      <c r="L1129">
        <v>0.5</v>
      </c>
      <c r="M1129" t="s">
        <v>18</v>
      </c>
    </row>
    <row r="1130" spans="1:13" x14ac:dyDescent="0.3">
      <c r="A1130" t="s">
        <v>2458</v>
      </c>
      <c r="B1130" t="s">
        <v>2459</v>
      </c>
      <c r="C1130" t="s">
        <v>1219</v>
      </c>
      <c r="D1130" t="s">
        <v>2060</v>
      </c>
      <c r="E1130">
        <v>7506</v>
      </c>
      <c r="F1130">
        <v>5890</v>
      </c>
      <c r="G1130">
        <v>22</v>
      </c>
      <c r="H1130">
        <v>1616</v>
      </c>
      <c r="I1130" t="s">
        <v>55</v>
      </c>
      <c r="J1130">
        <v>4.5</v>
      </c>
      <c r="K1130">
        <v>7241</v>
      </c>
      <c r="L1130">
        <v>0.32847619047619048</v>
      </c>
      <c r="M1130" t="s">
        <v>18</v>
      </c>
    </row>
    <row r="1131" spans="1:13" x14ac:dyDescent="0.3">
      <c r="A1131" t="s">
        <v>2460</v>
      </c>
      <c r="B1131" t="s">
        <v>2461</v>
      </c>
      <c r="C1131" t="s">
        <v>1219</v>
      </c>
      <c r="D1131" t="s">
        <v>2311</v>
      </c>
      <c r="E1131">
        <v>18000</v>
      </c>
      <c r="F1131">
        <v>9199</v>
      </c>
      <c r="G1131">
        <v>49</v>
      </c>
      <c r="H1131">
        <v>8801</v>
      </c>
      <c r="I1131" t="s">
        <v>55</v>
      </c>
      <c r="J1131">
        <v>4</v>
      </c>
      <c r="K1131">
        <v>16020</v>
      </c>
      <c r="L1131">
        <v>0.18512516921795269</v>
      </c>
      <c r="M1131" t="s">
        <v>18</v>
      </c>
    </row>
    <row r="1132" spans="1:13" x14ac:dyDescent="0.3">
      <c r="A1132" t="s">
        <v>2462</v>
      </c>
      <c r="B1132" t="s">
        <v>2463</v>
      </c>
      <c r="C1132" t="s">
        <v>1219</v>
      </c>
      <c r="D1132" t="s">
        <v>2048</v>
      </c>
      <c r="E1132">
        <v>1099</v>
      </c>
      <c r="F1132">
        <v>351</v>
      </c>
      <c r="G1132">
        <v>68</v>
      </c>
      <c r="H1132">
        <v>748</v>
      </c>
      <c r="I1132" t="s">
        <v>17</v>
      </c>
      <c r="J1132">
        <v>3.7</v>
      </c>
      <c r="K1132">
        <v>1470</v>
      </c>
      <c r="L1132">
        <v>0.1904545454545454</v>
      </c>
      <c r="M1132" t="s">
        <v>18</v>
      </c>
    </row>
    <row r="1133" spans="1:13" x14ac:dyDescent="0.3">
      <c r="A1133" t="s">
        <v>2464</v>
      </c>
      <c r="B1133" t="s">
        <v>2465</v>
      </c>
      <c r="C1133" t="s">
        <v>2466</v>
      </c>
      <c r="D1133" t="s">
        <v>2467</v>
      </c>
      <c r="E1133">
        <v>1900</v>
      </c>
      <c r="F1133">
        <v>899</v>
      </c>
      <c r="G1133">
        <v>53</v>
      </c>
      <c r="H1133">
        <v>1001</v>
      </c>
      <c r="I1133" t="s">
        <v>64</v>
      </c>
      <c r="J1133">
        <v>4</v>
      </c>
      <c r="K1133">
        <v>3663</v>
      </c>
      <c r="L1133">
        <v>0.161031746031746</v>
      </c>
      <c r="M1133" t="s">
        <v>18</v>
      </c>
    </row>
    <row r="1134" spans="1:13" x14ac:dyDescent="0.3">
      <c r="A1134" t="s">
        <v>2468</v>
      </c>
      <c r="B1134" t="s">
        <v>2469</v>
      </c>
      <c r="C1134" t="s">
        <v>1219</v>
      </c>
      <c r="D1134" t="s">
        <v>2020</v>
      </c>
      <c r="E1134">
        <v>1850</v>
      </c>
      <c r="F1134">
        <v>1349</v>
      </c>
      <c r="G1134">
        <v>27</v>
      </c>
      <c r="H1134">
        <v>501</v>
      </c>
      <c r="I1134" t="s">
        <v>64</v>
      </c>
      <c r="J1134">
        <v>4.4000000000000004</v>
      </c>
      <c r="K1134">
        <v>638</v>
      </c>
      <c r="L1134">
        <v>0.2138351370851371</v>
      </c>
      <c r="M1134" t="s">
        <v>18</v>
      </c>
    </row>
    <row r="1135" spans="1:13" x14ac:dyDescent="0.3">
      <c r="A1135" t="s">
        <v>2470</v>
      </c>
      <c r="B1135" t="s">
        <v>2471</v>
      </c>
      <c r="C1135" t="s">
        <v>1219</v>
      </c>
      <c r="D1135" t="s">
        <v>2279</v>
      </c>
      <c r="E1135">
        <v>9999</v>
      </c>
      <c r="F1135">
        <v>6236</v>
      </c>
      <c r="G1135">
        <v>38</v>
      </c>
      <c r="H1135">
        <v>3763</v>
      </c>
      <c r="I1135" t="s">
        <v>55</v>
      </c>
      <c r="J1135">
        <v>4.0999999999999996</v>
      </c>
      <c r="K1135">
        <v>3552</v>
      </c>
      <c r="L1135">
        <v>0.2741887125220458</v>
      </c>
      <c r="M1135" t="s">
        <v>18</v>
      </c>
    </row>
    <row r="1136" spans="1:13" x14ac:dyDescent="0.3">
      <c r="A1136" t="s">
        <v>2472</v>
      </c>
      <c r="B1136" t="s">
        <v>2473</v>
      </c>
      <c r="C1136" t="s">
        <v>1219</v>
      </c>
      <c r="D1136" t="s">
        <v>2001</v>
      </c>
      <c r="E1136">
        <v>3995</v>
      </c>
      <c r="F1136">
        <v>2742</v>
      </c>
      <c r="G1136">
        <v>31</v>
      </c>
      <c r="H1136">
        <v>1253</v>
      </c>
      <c r="I1136" t="s">
        <v>167</v>
      </c>
      <c r="J1136">
        <v>4.4000000000000004</v>
      </c>
      <c r="K1136">
        <v>11148</v>
      </c>
      <c r="L1136">
        <v>0.1925905797101449</v>
      </c>
      <c r="M1136" t="s">
        <v>18</v>
      </c>
    </row>
    <row r="1137" spans="1:13" x14ac:dyDescent="0.3">
      <c r="A1137" t="s">
        <v>2474</v>
      </c>
      <c r="B1137" t="s">
        <v>2475</v>
      </c>
      <c r="C1137" t="s">
        <v>1219</v>
      </c>
      <c r="D1137" t="s">
        <v>2347</v>
      </c>
      <c r="E1137">
        <v>1499</v>
      </c>
      <c r="F1137">
        <v>721</v>
      </c>
      <c r="G1137">
        <v>52</v>
      </c>
      <c r="H1137">
        <v>778</v>
      </c>
      <c r="I1137" t="s">
        <v>64</v>
      </c>
      <c r="J1137">
        <v>3.1</v>
      </c>
      <c r="K1137">
        <v>2449</v>
      </c>
      <c r="L1137">
        <v>0.32896825396825402</v>
      </c>
      <c r="M1137" t="s">
        <v>18</v>
      </c>
    </row>
    <row r="1138" spans="1:13" x14ac:dyDescent="0.3">
      <c r="A1138" t="s">
        <v>2476</v>
      </c>
      <c r="B1138" t="s">
        <v>2477</v>
      </c>
      <c r="C1138" t="s">
        <v>1219</v>
      </c>
      <c r="D1138" t="s">
        <v>2051</v>
      </c>
      <c r="E1138">
        <v>3295</v>
      </c>
      <c r="F1138">
        <v>2903</v>
      </c>
      <c r="G1138">
        <v>12</v>
      </c>
      <c r="H1138">
        <v>392</v>
      </c>
      <c r="I1138" t="s">
        <v>167</v>
      </c>
      <c r="J1138">
        <v>4.3</v>
      </c>
      <c r="K1138">
        <v>2299</v>
      </c>
      <c r="L1138">
        <v>0.38961538461538459</v>
      </c>
      <c r="M1138" t="s">
        <v>18</v>
      </c>
    </row>
    <row r="1139" spans="1:13" x14ac:dyDescent="0.3">
      <c r="A1139" t="s">
        <v>2478</v>
      </c>
      <c r="B1139" t="s">
        <v>2479</v>
      </c>
      <c r="C1139" t="s">
        <v>1219</v>
      </c>
      <c r="D1139" t="s">
        <v>2114</v>
      </c>
      <c r="E1139">
        <v>2695</v>
      </c>
      <c r="F1139">
        <v>1656</v>
      </c>
      <c r="G1139">
        <v>39</v>
      </c>
      <c r="H1139">
        <v>1039</v>
      </c>
      <c r="I1139" t="s">
        <v>167</v>
      </c>
      <c r="J1139">
        <v>4.4000000000000004</v>
      </c>
      <c r="K1139">
        <v>6027</v>
      </c>
      <c r="L1139">
        <v>0.28270833333333328</v>
      </c>
      <c r="M1139" t="s">
        <v>18</v>
      </c>
    </row>
    <row r="1140" spans="1:13" x14ac:dyDescent="0.3">
      <c r="A1140" t="s">
        <v>2480</v>
      </c>
      <c r="B1140" t="s">
        <v>2481</v>
      </c>
      <c r="C1140" t="s">
        <v>1219</v>
      </c>
      <c r="D1140" t="s">
        <v>2080</v>
      </c>
      <c r="E1140">
        <v>2290</v>
      </c>
      <c r="F1140">
        <v>1399</v>
      </c>
      <c r="G1140">
        <v>39</v>
      </c>
      <c r="H1140">
        <v>891</v>
      </c>
      <c r="I1140" t="s">
        <v>64</v>
      </c>
      <c r="J1140">
        <v>4.4000000000000004</v>
      </c>
      <c r="K1140">
        <v>461</v>
      </c>
      <c r="L1140">
        <v>0.23474548440065679</v>
      </c>
      <c r="M1140" t="s">
        <v>18</v>
      </c>
    </row>
    <row r="1141" spans="1:13" x14ac:dyDescent="0.3">
      <c r="A1141" t="s">
        <v>2482</v>
      </c>
      <c r="B1141" t="s">
        <v>2483</v>
      </c>
      <c r="C1141" t="s">
        <v>1219</v>
      </c>
      <c r="D1141" t="s">
        <v>2087</v>
      </c>
      <c r="E1141">
        <v>3099</v>
      </c>
      <c r="F1141">
        <v>2079</v>
      </c>
      <c r="G1141">
        <v>33</v>
      </c>
      <c r="H1141">
        <v>1020</v>
      </c>
      <c r="I1141" t="s">
        <v>167</v>
      </c>
      <c r="J1141">
        <v>4.0999999999999996</v>
      </c>
      <c r="K1141">
        <v>282</v>
      </c>
      <c r="L1141">
        <v>0.29098193473193468</v>
      </c>
      <c r="M1141" t="s">
        <v>18</v>
      </c>
    </row>
    <row r="1142" spans="1:13" x14ac:dyDescent="0.3">
      <c r="A1142" t="s">
        <v>2484</v>
      </c>
      <c r="B1142" t="s">
        <v>2485</v>
      </c>
      <c r="C1142" t="s">
        <v>1219</v>
      </c>
      <c r="D1142" t="s">
        <v>2038</v>
      </c>
      <c r="E1142">
        <v>1075</v>
      </c>
      <c r="F1142">
        <v>999</v>
      </c>
      <c r="G1142">
        <v>7</v>
      </c>
      <c r="H1142">
        <v>76</v>
      </c>
      <c r="I1142" t="s">
        <v>64</v>
      </c>
      <c r="J1142">
        <v>4.0999999999999996</v>
      </c>
      <c r="K1142">
        <v>9275</v>
      </c>
      <c r="L1142">
        <v>0.1357142857142857</v>
      </c>
      <c r="M1142" t="s">
        <v>18</v>
      </c>
    </row>
    <row r="1143" spans="1:13" x14ac:dyDescent="0.3">
      <c r="A1143" t="s">
        <v>2486</v>
      </c>
      <c r="B1143" t="s">
        <v>2487</v>
      </c>
      <c r="C1143" t="s">
        <v>1219</v>
      </c>
      <c r="D1143" t="s">
        <v>2067</v>
      </c>
      <c r="E1143">
        <v>6999</v>
      </c>
      <c r="F1143">
        <v>3179</v>
      </c>
      <c r="G1143">
        <v>55</v>
      </c>
      <c r="H1143">
        <v>3820</v>
      </c>
      <c r="I1143" t="s">
        <v>167</v>
      </c>
      <c r="J1143">
        <v>4</v>
      </c>
      <c r="K1143">
        <v>743</v>
      </c>
      <c r="L1143">
        <v>0.19196296296296289</v>
      </c>
      <c r="M1143" t="s">
        <v>18</v>
      </c>
    </row>
    <row r="1144" spans="1:13" x14ac:dyDescent="0.3">
      <c r="A1144" t="s">
        <v>2488</v>
      </c>
      <c r="B1144" t="s">
        <v>2489</v>
      </c>
      <c r="C1144" t="s">
        <v>1219</v>
      </c>
      <c r="D1144" t="s">
        <v>2010</v>
      </c>
      <c r="E1144">
        <v>2499</v>
      </c>
      <c r="F1144">
        <v>1049</v>
      </c>
      <c r="G1144">
        <v>58</v>
      </c>
      <c r="H1144">
        <v>1450</v>
      </c>
      <c r="I1144" t="s">
        <v>64</v>
      </c>
      <c r="J1144">
        <v>3.6</v>
      </c>
      <c r="K1144">
        <v>328</v>
      </c>
      <c r="L1144">
        <v>-3.3333333333333298E-2</v>
      </c>
      <c r="M1144" t="s">
        <v>103</v>
      </c>
    </row>
    <row r="1145" spans="1:13" x14ac:dyDescent="0.3">
      <c r="A1145" t="s">
        <v>2490</v>
      </c>
      <c r="B1145" t="s">
        <v>2491</v>
      </c>
      <c r="C1145" t="s">
        <v>1219</v>
      </c>
      <c r="D1145" t="s">
        <v>2010</v>
      </c>
      <c r="E1145">
        <v>7290</v>
      </c>
      <c r="F1145">
        <v>3599</v>
      </c>
      <c r="G1145">
        <v>51</v>
      </c>
      <c r="H1145">
        <v>3691</v>
      </c>
      <c r="I1145" t="s">
        <v>167</v>
      </c>
      <c r="J1145">
        <v>3.9</v>
      </c>
      <c r="K1145">
        <v>942</v>
      </c>
      <c r="L1145">
        <v>0.1558333333333333</v>
      </c>
      <c r="M1145" t="s">
        <v>18</v>
      </c>
    </row>
    <row r="1146" spans="1:13" x14ac:dyDescent="0.3">
      <c r="A1146" t="s">
        <v>2492</v>
      </c>
      <c r="B1146" t="s">
        <v>2493</v>
      </c>
      <c r="C1146" t="s">
        <v>1219</v>
      </c>
      <c r="D1146" t="s">
        <v>2494</v>
      </c>
      <c r="E1146">
        <v>5795</v>
      </c>
      <c r="F1146">
        <v>4799</v>
      </c>
      <c r="G1146">
        <v>17</v>
      </c>
      <c r="H1146">
        <v>996</v>
      </c>
      <c r="I1146" t="s">
        <v>167</v>
      </c>
      <c r="J1146">
        <v>3.9</v>
      </c>
      <c r="K1146">
        <v>3815</v>
      </c>
      <c r="L1146">
        <v>0.15876623376623369</v>
      </c>
      <c r="M1146" t="s">
        <v>18</v>
      </c>
    </row>
    <row r="1147" spans="1:13" x14ac:dyDescent="0.3">
      <c r="A1147" t="s">
        <v>2495</v>
      </c>
      <c r="B1147" t="s">
        <v>2496</v>
      </c>
      <c r="C1147" t="s">
        <v>1219</v>
      </c>
      <c r="D1147" t="s">
        <v>2007</v>
      </c>
      <c r="E1147">
        <v>3398</v>
      </c>
      <c r="F1147">
        <v>1699</v>
      </c>
      <c r="G1147">
        <v>50</v>
      </c>
      <c r="H1147">
        <v>1699</v>
      </c>
      <c r="I1147" t="s">
        <v>167</v>
      </c>
      <c r="J1147">
        <v>3.8</v>
      </c>
      <c r="K1147">
        <v>7988</v>
      </c>
      <c r="L1147">
        <v>9.5238095238095205E-2</v>
      </c>
      <c r="M1147" t="s">
        <v>103</v>
      </c>
    </row>
    <row r="1148" spans="1:13" x14ac:dyDescent="0.3">
      <c r="A1148" t="s">
        <v>2497</v>
      </c>
      <c r="B1148" t="s">
        <v>2498</v>
      </c>
      <c r="C1148" t="s">
        <v>1219</v>
      </c>
      <c r="D1148" t="s">
        <v>2020</v>
      </c>
      <c r="E1148">
        <v>1490</v>
      </c>
      <c r="F1148">
        <v>664</v>
      </c>
      <c r="G1148">
        <v>55</v>
      </c>
      <c r="H1148">
        <v>826</v>
      </c>
      <c r="I1148" t="s">
        <v>64</v>
      </c>
      <c r="J1148">
        <v>4.0999999999999996</v>
      </c>
      <c r="K1148">
        <v>925</v>
      </c>
      <c r="L1148">
        <v>0.50416666666666665</v>
      </c>
      <c r="M1148" t="s">
        <v>18</v>
      </c>
    </row>
    <row r="1149" spans="1:13" x14ac:dyDescent="0.3">
      <c r="A1149" t="s">
        <v>2499</v>
      </c>
      <c r="B1149" t="s">
        <v>2500</v>
      </c>
      <c r="C1149" t="s">
        <v>1219</v>
      </c>
      <c r="D1149" t="s">
        <v>2501</v>
      </c>
      <c r="E1149">
        <v>1620</v>
      </c>
      <c r="F1149">
        <v>948</v>
      </c>
      <c r="G1149">
        <v>41</v>
      </c>
      <c r="H1149">
        <v>672</v>
      </c>
      <c r="I1149" t="s">
        <v>64</v>
      </c>
      <c r="J1149">
        <v>4.0999999999999996</v>
      </c>
      <c r="K1149">
        <v>4370</v>
      </c>
      <c r="L1149">
        <v>0.25537684537684541</v>
      </c>
      <c r="M1149" t="s">
        <v>18</v>
      </c>
    </row>
    <row r="1150" spans="1:13" x14ac:dyDescent="0.3">
      <c r="A1150" t="s">
        <v>2502</v>
      </c>
      <c r="B1150" t="s">
        <v>2503</v>
      </c>
      <c r="C1150" t="s">
        <v>1219</v>
      </c>
      <c r="D1150" t="s">
        <v>2004</v>
      </c>
      <c r="E1150">
        <v>1000</v>
      </c>
      <c r="F1150">
        <v>850</v>
      </c>
      <c r="G1150">
        <v>15</v>
      </c>
      <c r="H1150">
        <v>150</v>
      </c>
      <c r="I1150" t="s">
        <v>64</v>
      </c>
      <c r="J1150">
        <v>4.0999999999999996</v>
      </c>
      <c r="K1150">
        <v>7619</v>
      </c>
      <c r="L1150">
        <v>0.29166666666666657</v>
      </c>
      <c r="M1150" t="s">
        <v>18</v>
      </c>
    </row>
    <row r="1151" spans="1:13" x14ac:dyDescent="0.3">
      <c r="A1151" t="s">
        <v>2504</v>
      </c>
      <c r="B1151" t="s">
        <v>2505</v>
      </c>
      <c r="C1151" t="s">
        <v>1219</v>
      </c>
      <c r="D1151" t="s">
        <v>2215</v>
      </c>
      <c r="E1151">
        <v>640</v>
      </c>
      <c r="F1151">
        <v>600</v>
      </c>
      <c r="G1151">
        <v>6</v>
      </c>
      <c r="H1151">
        <v>40</v>
      </c>
      <c r="I1151" t="s">
        <v>64</v>
      </c>
      <c r="J1151">
        <v>3.8</v>
      </c>
      <c r="K1151">
        <v>2593</v>
      </c>
      <c r="L1151">
        <v>0.1872222222222221</v>
      </c>
      <c r="M1151" t="s">
        <v>18</v>
      </c>
    </row>
    <row r="1152" spans="1:13" x14ac:dyDescent="0.3">
      <c r="A1152" t="s">
        <v>2506</v>
      </c>
      <c r="B1152" t="s">
        <v>2507</v>
      </c>
      <c r="C1152" t="s">
        <v>1219</v>
      </c>
      <c r="D1152" t="s">
        <v>1969</v>
      </c>
      <c r="E1152">
        <v>4495</v>
      </c>
      <c r="F1152">
        <v>3711</v>
      </c>
      <c r="G1152">
        <v>17</v>
      </c>
      <c r="H1152">
        <v>784</v>
      </c>
      <c r="I1152" t="s">
        <v>167</v>
      </c>
      <c r="J1152">
        <v>4.3</v>
      </c>
      <c r="K1152">
        <v>356</v>
      </c>
      <c r="L1152">
        <v>0.21613493566618561</v>
      </c>
      <c r="M1152" t="s">
        <v>18</v>
      </c>
    </row>
    <row r="1153" spans="1:13" x14ac:dyDescent="0.3">
      <c r="A1153" t="s">
        <v>2508</v>
      </c>
      <c r="B1153" t="s">
        <v>2509</v>
      </c>
      <c r="C1153" t="s">
        <v>1219</v>
      </c>
      <c r="D1153" t="s">
        <v>1978</v>
      </c>
      <c r="E1153">
        <v>2999</v>
      </c>
      <c r="F1153">
        <v>799</v>
      </c>
      <c r="G1153">
        <v>73</v>
      </c>
      <c r="H1153">
        <v>2200</v>
      </c>
      <c r="I1153" t="s">
        <v>64</v>
      </c>
      <c r="J1153">
        <v>4.5</v>
      </c>
      <c r="K1153">
        <v>63</v>
      </c>
      <c r="L1153">
        <v>0.41156862745098038</v>
      </c>
      <c r="M1153" t="s">
        <v>18</v>
      </c>
    </row>
    <row r="1154" spans="1:13" x14ac:dyDescent="0.3">
      <c r="A1154" t="s">
        <v>2510</v>
      </c>
      <c r="B1154" t="s">
        <v>2511</v>
      </c>
      <c r="C1154" t="s">
        <v>1219</v>
      </c>
      <c r="D1154" t="s">
        <v>2212</v>
      </c>
      <c r="E1154">
        <v>980</v>
      </c>
      <c r="F1154">
        <v>980</v>
      </c>
      <c r="G1154">
        <v>0</v>
      </c>
      <c r="H1154">
        <v>0</v>
      </c>
      <c r="I1154" t="s">
        <v>64</v>
      </c>
      <c r="J1154">
        <v>4.2</v>
      </c>
      <c r="K1154">
        <v>4740</v>
      </c>
      <c r="L1154">
        <v>0.4</v>
      </c>
      <c r="M1154" t="s">
        <v>18</v>
      </c>
    </row>
    <row r="1155" spans="1:13" x14ac:dyDescent="0.3">
      <c r="A1155" t="s">
        <v>2512</v>
      </c>
      <c r="B1155" t="s">
        <v>2513</v>
      </c>
      <c r="C1155" t="s">
        <v>1219</v>
      </c>
      <c r="D1155" t="s">
        <v>2048</v>
      </c>
      <c r="E1155">
        <v>899</v>
      </c>
      <c r="F1155">
        <v>351</v>
      </c>
      <c r="G1155">
        <v>61</v>
      </c>
      <c r="H1155">
        <v>548</v>
      </c>
      <c r="I1155" t="s">
        <v>17</v>
      </c>
      <c r="J1155">
        <v>3.9</v>
      </c>
      <c r="K1155">
        <v>296</v>
      </c>
      <c r="L1155">
        <v>0.35924342105263157</v>
      </c>
      <c r="M1155" t="s">
        <v>18</v>
      </c>
    </row>
    <row r="1156" spans="1:13" x14ac:dyDescent="0.3">
      <c r="A1156" t="s">
        <v>2514</v>
      </c>
      <c r="B1156" t="s">
        <v>2515</v>
      </c>
      <c r="C1156" t="s">
        <v>1219</v>
      </c>
      <c r="D1156" t="s">
        <v>2516</v>
      </c>
      <c r="E1156">
        <v>499</v>
      </c>
      <c r="F1156">
        <v>229</v>
      </c>
      <c r="G1156">
        <v>54</v>
      </c>
      <c r="H1156">
        <v>270</v>
      </c>
      <c r="I1156" t="s">
        <v>17</v>
      </c>
      <c r="J1156">
        <v>3.5</v>
      </c>
      <c r="K1156">
        <v>185</v>
      </c>
      <c r="L1156">
        <v>0.26823696145124709</v>
      </c>
      <c r="M1156" t="s">
        <v>18</v>
      </c>
    </row>
    <row r="1157" spans="1:13" x14ac:dyDescent="0.3">
      <c r="A1157" t="s">
        <v>2517</v>
      </c>
      <c r="B1157" t="s">
        <v>2518</v>
      </c>
      <c r="C1157" t="s">
        <v>1219</v>
      </c>
      <c r="D1157" t="s">
        <v>2051</v>
      </c>
      <c r="E1157">
        <v>3995</v>
      </c>
      <c r="F1157">
        <v>3349</v>
      </c>
      <c r="G1157">
        <v>16</v>
      </c>
      <c r="H1157">
        <v>646</v>
      </c>
      <c r="I1157" t="s">
        <v>167</v>
      </c>
      <c r="J1157">
        <v>4.3</v>
      </c>
      <c r="K1157">
        <v>1954</v>
      </c>
      <c r="L1157">
        <v>0.2427380952380952</v>
      </c>
      <c r="M1157" t="s">
        <v>18</v>
      </c>
    </row>
    <row r="1158" spans="1:13" x14ac:dyDescent="0.3">
      <c r="A1158" t="s">
        <v>2519</v>
      </c>
      <c r="B1158" t="s">
        <v>2520</v>
      </c>
      <c r="C1158" t="s">
        <v>1219</v>
      </c>
      <c r="D1158" t="s">
        <v>2023</v>
      </c>
      <c r="E1158">
        <v>11500</v>
      </c>
      <c r="F1158">
        <v>5499</v>
      </c>
      <c r="G1158">
        <v>52</v>
      </c>
      <c r="H1158">
        <v>6001</v>
      </c>
      <c r="I1158" t="s">
        <v>55</v>
      </c>
      <c r="J1158">
        <v>3.9</v>
      </c>
      <c r="K1158">
        <v>959</v>
      </c>
      <c r="L1158">
        <v>0.33499999999999991</v>
      </c>
      <c r="M1158" t="s">
        <v>18</v>
      </c>
    </row>
    <row r="1159" spans="1:13" x14ac:dyDescent="0.3">
      <c r="A1159" t="s">
        <v>2521</v>
      </c>
      <c r="B1159" t="s">
        <v>2522</v>
      </c>
      <c r="C1159" t="s">
        <v>1219</v>
      </c>
      <c r="D1159" t="s">
        <v>1975</v>
      </c>
      <c r="E1159">
        <v>499</v>
      </c>
      <c r="F1159">
        <v>299</v>
      </c>
      <c r="G1159">
        <v>40</v>
      </c>
      <c r="H1159">
        <v>200</v>
      </c>
      <c r="I1159" t="s">
        <v>17</v>
      </c>
      <c r="J1159">
        <v>3.9</v>
      </c>
      <c r="K1159">
        <v>1015</v>
      </c>
      <c r="L1159">
        <v>0.1661645299145299</v>
      </c>
      <c r="M1159" t="s">
        <v>18</v>
      </c>
    </row>
    <row r="1160" spans="1:13" x14ac:dyDescent="0.3">
      <c r="A1160" t="s">
        <v>2523</v>
      </c>
      <c r="B1160" t="s">
        <v>2524</v>
      </c>
      <c r="C1160" t="s">
        <v>1219</v>
      </c>
      <c r="D1160" t="s">
        <v>2525</v>
      </c>
      <c r="E1160">
        <v>3550</v>
      </c>
      <c r="F1160">
        <v>2249</v>
      </c>
      <c r="G1160">
        <v>37</v>
      </c>
      <c r="H1160">
        <v>1301</v>
      </c>
      <c r="I1160" t="s">
        <v>167</v>
      </c>
      <c r="J1160">
        <v>4</v>
      </c>
      <c r="K1160">
        <v>3973</v>
      </c>
      <c r="L1160">
        <v>0.15425106837606831</v>
      </c>
      <c r="M1160" t="s">
        <v>18</v>
      </c>
    </row>
    <row r="1161" spans="1:13" x14ac:dyDescent="0.3">
      <c r="A1161" t="s">
        <v>2526</v>
      </c>
      <c r="B1161" t="s">
        <v>2527</v>
      </c>
      <c r="C1161" t="s">
        <v>1219</v>
      </c>
      <c r="D1161" t="s">
        <v>2080</v>
      </c>
      <c r="E1161">
        <v>1599</v>
      </c>
      <c r="F1161">
        <v>699</v>
      </c>
      <c r="G1161">
        <v>56</v>
      </c>
      <c r="H1161">
        <v>900</v>
      </c>
      <c r="I1161" t="s">
        <v>64</v>
      </c>
      <c r="J1161">
        <v>4.7</v>
      </c>
      <c r="K1161">
        <v>2300</v>
      </c>
      <c r="L1161">
        <v>0.47333333333333327</v>
      </c>
      <c r="M1161" t="s">
        <v>18</v>
      </c>
    </row>
    <row r="1162" spans="1:13" x14ac:dyDescent="0.3">
      <c r="A1162" t="s">
        <v>2528</v>
      </c>
      <c r="B1162" t="s">
        <v>2529</v>
      </c>
      <c r="C1162" t="s">
        <v>1219</v>
      </c>
      <c r="D1162" t="s">
        <v>1969</v>
      </c>
      <c r="E1162">
        <v>1499</v>
      </c>
      <c r="F1162">
        <v>1235</v>
      </c>
      <c r="G1162">
        <v>18</v>
      </c>
      <c r="H1162">
        <v>264</v>
      </c>
      <c r="I1162" t="s">
        <v>64</v>
      </c>
      <c r="J1162">
        <v>4.0999999999999996</v>
      </c>
      <c r="K1162">
        <v>203</v>
      </c>
      <c r="L1162">
        <v>0.14623456790123451</v>
      </c>
      <c r="M1162" t="s">
        <v>18</v>
      </c>
    </row>
    <row r="1163" spans="1:13" x14ac:dyDescent="0.3">
      <c r="A1163" t="s">
        <v>2530</v>
      </c>
      <c r="B1163" t="s">
        <v>2531</v>
      </c>
      <c r="C1163" t="s">
        <v>1219</v>
      </c>
      <c r="D1163" t="s">
        <v>2114</v>
      </c>
      <c r="E1163">
        <v>2999</v>
      </c>
      <c r="F1163">
        <v>1349</v>
      </c>
      <c r="G1163">
        <v>55</v>
      </c>
      <c r="H1163">
        <v>1650</v>
      </c>
      <c r="I1163" t="s">
        <v>64</v>
      </c>
      <c r="J1163">
        <v>3.8</v>
      </c>
      <c r="K1163">
        <v>441</v>
      </c>
      <c r="L1163">
        <v>0.23958333333333329</v>
      </c>
      <c r="M1163" t="s">
        <v>18</v>
      </c>
    </row>
    <row r="1164" spans="1:13" x14ac:dyDescent="0.3">
      <c r="A1164" t="s">
        <v>2532</v>
      </c>
      <c r="B1164" t="s">
        <v>2533</v>
      </c>
      <c r="C1164" t="s">
        <v>1219</v>
      </c>
      <c r="D1164" t="s">
        <v>2023</v>
      </c>
      <c r="E1164">
        <v>11500</v>
      </c>
      <c r="F1164">
        <v>6800</v>
      </c>
      <c r="G1164">
        <v>41</v>
      </c>
      <c r="H1164">
        <v>4700</v>
      </c>
      <c r="I1164" t="s">
        <v>55</v>
      </c>
      <c r="J1164">
        <v>4.0999999999999996</v>
      </c>
      <c r="K1164">
        <v>10308</v>
      </c>
      <c r="L1164">
        <v>0.48888888888888887</v>
      </c>
      <c r="M1164" t="s">
        <v>18</v>
      </c>
    </row>
    <row r="1165" spans="1:13" x14ac:dyDescent="0.3">
      <c r="A1165" t="s">
        <v>2534</v>
      </c>
      <c r="B1165" t="s">
        <v>2535</v>
      </c>
      <c r="C1165" t="s">
        <v>1219</v>
      </c>
      <c r="D1165" t="s">
        <v>2087</v>
      </c>
      <c r="E1165">
        <v>1975</v>
      </c>
      <c r="F1165">
        <v>1699</v>
      </c>
      <c r="G1165">
        <v>14</v>
      </c>
      <c r="H1165">
        <v>276</v>
      </c>
      <c r="I1165" t="s">
        <v>167</v>
      </c>
      <c r="J1165">
        <v>4.0999999999999996</v>
      </c>
      <c r="K1165">
        <v>4716</v>
      </c>
      <c r="L1165">
        <v>0.16714285714285709</v>
      </c>
      <c r="M1165" t="s">
        <v>18</v>
      </c>
    </row>
    <row r="1166" spans="1:13" x14ac:dyDescent="0.3">
      <c r="A1166" t="s">
        <v>2536</v>
      </c>
      <c r="B1166" t="s">
        <v>2537</v>
      </c>
      <c r="C1166" t="s">
        <v>1219</v>
      </c>
      <c r="D1166" t="s">
        <v>1972</v>
      </c>
      <c r="E1166">
        <v>1699</v>
      </c>
      <c r="F1166">
        <v>1069</v>
      </c>
      <c r="G1166">
        <v>37</v>
      </c>
      <c r="H1166">
        <v>630</v>
      </c>
      <c r="I1166" t="s">
        <v>64</v>
      </c>
      <c r="J1166">
        <v>3.9</v>
      </c>
      <c r="K1166">
        <v>313</v>
      </c>
      <c r="L1166">
        <v>0.2206349206349206</v>
      </c>
      <c r="M1166" t="s">
        <v>18</v>
      </c>
    </row>
    <row r="1167" spans="1:13" x14ac:dyDescent="0.3">
      <c r="A1167" t="s">
        <v>2538</v>
      </c>
      <c r="B1167" t="s">
        <v>2539</v>
      </c>
      <c r="C1167" t="s">
        <v>1219</v>
      </c>
      <c r="D1167" t="s">
        <v>1972</v>
      </c>
      <c r="E1167">
        <v>2495</v>
      </c>
      <c r="F1167">
        <v>1349</v>
      </c>
      <c r="G1167">
        <v>46</v>
      </c>
      <c r="H1167">
        <v>1146</v>
      </c>
      <c r="I1167" t="s">
        <v>64</v>
      </c>
      <c r="J1167">
        <v>3.8</v>
      </c>
      <c r="K1167">
        <v>166</v>
      </c>
      <c r="L1167">
        <v>0.32665404040404039</v>
      </c>
      <c r="M1167" t="s">
        <v>18</v>
      </c>
    </row>
    <row r="1168" spans="1:13" x14ac:dyDescent="0.3">
      <c r="A1168" t="s">
        <v>2540</v>
      </c>
      <c r="B1168" t="s">
        <v>2541</v>
      </c>
      <c r="C1168" t="s">
        <v>1219</v>
      </c>
      <c r="D1168" t="s">
        <v>2038</v>
      </c>
      <c r="E1168">
        <v>3500</v>
      </c>
      <c r="F1168">
        <v>1499</v>
      </c>
      <c r="G1168">
        <v>57</v>
      </c>
      <c r="H1168">
        <v>2001</v>
      </c>
      <c r="I1168" t="s">
        <v>64</v>
      </c>
      <c r="J1168">
        <v>4.0999999999999996</v>
      </c>
      <c r="K1168">
        <v>303</v>
      </c>
      <c r="L1168">
        <v>0.2394444444444444</v>
      </c>
      <c r="M1168" t="s">
        <v>18</v>
      </c>
    </row>
    <row r="1169" spans="1:13" x14ac:dyDescent="0.3">
      <c r="A1169" t="s">
        <v>2542</v>
      </c>
      <c r="B1169" t="s">
        <v>2543</v>
      </c>
      <c r="C1169" t="s">
        <v>1219</v>
      </c>
      <c r="D1169" t="s">
        <v>2087</v>
      </c>
      <c r="E1169">
        <v>4600</v>
      </c>
      <c r="F1169">
        <v>2092</v>
      </c>
      <c r="G1169">
        <v>55</v>
      </c>
      <c r="H1169">
        <v>2508</v>
      </c>
      <c r="I1169" t="s">
        <v>167</v>
      </c>
      <c r="J1169">
        <v>4.3</v>
      </c>
      <c r="K1169">
        <v>562</v>
      </c>
      <c r="L1169">
        <v>0.2398232323232323</v>
      </c>
      <c r="M1169" t="s">
        <v>18</v>
      </c>
    </row>
    <row r="1170" spans="1:13" x14ac:dyDescent="0.3">
      <c r="A1170" t="s">
        <v>2544</v>
      </c>
      <c r="B1170" t="s">
        <v>2545</v>
      </c>
      <c r="C1170" t="s">
        <v>1219</v>
      </c>
      <c r="D1170" t="s">
        <v>2279</v>
      </c>
      <c r="E1170">
        <v>10295</v>
      </c>
      <c r="F1170">
        <v>3859</v>
      </c>
      <c r="G1170">
        <v>63</v>
      </c>
      <c r="H1170">
        <v>6436</v>
      </c>
      <c r="I1170" t="s">
        <v>167</v>
      </c>
      <c r="J1170">
        <v>3.9</v>
      </c>
      <c r="K1170">
        <v>8095</v>
      </c>
      <c r="L1170">
        <v>0.34645833333333331</v>
      </c>
      <c r="M1170" t="s">
        <v>18</v>
      </c>
    </row>
    <row r="1171" spans="1:13" x14ac:dyDescent="0.3">
      <c r="A1171" t="s">
        <v>2546</v>
      </c>
      <c r="B1171" t="s">
        <v>2547</v>
      </c>
      <c r="C1171" t="s">
        <v>1219</v>
      </c>
      <c r="D1171" t="s">
        <v>2060</v>
      </c>
      <c r="E1171">
        <v>2199</v>
      </c>
      <c r="F1171">
        <v>499</v>
      </c>
      <c r="G1171">
        <v>77</v>
      </c>
      <c r="H1171">
        <v>1700</v>
      </c>
      <c r="I1171" t="s">
        <v>17</v>
      </c>
      <c r="J1171">
        <v>2.8</v>
      </c>
      <c r="K1171">
        <v>109</v>
      </c>
      <c r="L1171">
        <v>0.1446545454545454</v>
      </c>
      <c r="M1171" t="s">
        <v>18</v>
      </c>
    </row>
    <row r="1172" spans="1:13" x14ac:dyDescent="0.3">
      <c r="A1172" t="s">
        <v>2548</v>
      </c>
      <c r="B1172" t="s">
        <v>2549</v>
      </c>
      <c r="C1172" t="s">
        <v>1219</v>
      </c>
      <c r="D1172" t="s">
        <v>2137</v>
      </c>
      <c r="E1172">
        <v>2380</v>
      </c>
      <c r="F1172">
        <v>1804</v>
      </c>
      <c r="G1172">
        <v>24</v>
      </c>
      <c r="H1172">
        <v>576</v>
      </c>
      <c r="I1172" t="s">
        <v>167</v>
      </c>
      <c r="J1172">
        <v>4</v>
      </c>
      <c r="K1172">
        <v>15382</v>
      </c>
      <c r="L1172">
        <v>0.2388888888888889</v>
      </c>
      <c r="M1172" t="s">
        <v>18</v>
      </c>
    </row>
    <row r="1173" spans="1:13" x14ac:dyDescent="0.3">
      <c r="A1173" t="s">
        <v>2550</v>
      </c>
      <c r="B1173" t="s">
        <v>2551</v>
      </c>
      <c r="C1173" t="s">
        <v>1219</v>
      </c>
      <c r="D1173" t="s">
        <v>2060</v>
      </c>
      <c r="E1173">
        <v>8820</v>
      </c>
      <c r="F1173">
        <v>6525</v>
      </c>
      <c r="G1173">
        <v>26</v>
      </c>
      <c r="H1173">
        <v>2295</v>
      </c>
      <c r="I1173" t="s">
        <v>55</v>
      </c>
      <c r="J1173">
        <v>4.5</v>
      </c>
      <c r="K1173">
        <v>5137</v>
      </c>
      <c r="L1173">
        <v>0.35140039447731741</v>
      </c>
      <c r="M1173" t="s">
        <v>18</v>
      </c>
    </row>
    <row r="1174" spans="1:13" x14ac:dyDescent="0.3">
      <c r="A1174" t="s">
        <v>2552</v>
      </c>
      <c r="B1174" t="s">
        <v>2553</v>
      </c>
      <c r="C1174" t="s">
        <v>1219</v>
      </c>
      <c r="D1174" t="s">
        <v>2311</v>
      </c>
      <c r="E1174">
        <v>24999</v>
      </c>
      <c r="F1174">
        <v>4999</v>
      </c>
      <c r="G1174">
        <v>80</v>
      </c>
      <c r="H1174">
        <v>20000</v>
      </c>
      <c r="I1174" t="s">
        <v>167</v>
      </c>
      <c r="J1174">
        <v>4.5999999999999996</v>
      </c>
      <c r="K1174">
        <v>124</v>
      </c>
      <c r="L1174">
        <v>0.47776455026455023</v>
      </c>
      <c r="M1174" t="s">
        <v>18</v>
      </c>
    </row>
    <row r="1175" spans="1:13" x14ac:dyDescent="0.3">
      <c r="A1175" t="s">
        <v>2554</v>
      </c>
      <c r="B1175" t="s">
        <v>2555</v>
      </c>
      <c r="C1175" t="s">
        <v>1219</v>
      </c>
      <c r="D1175" t="s">
        <v>2207</v>
      </c>
      <c r="E1175">
        <v>2400</v>
      </c>
      <c r="F1175">
        <v>1189</v>
      </c>
      <c r="G1175">
        <v>50</v>
      </c>
      <c r="H1175">
        <v>1211</v>
      </c>
      <c r="I1175" t="s">
        <v>64</v>
      </c>
      <c r="J1175">
        <v>4.0999999999999996</v>
      </c>
      <c r="K1175">
        <v>618</v>
      </c>
      <c r="L1175">
        <v>0.1850021645021645</v>
      </c>
      <c r="M1175" t="s">
        <v>18</v>
      </c>
    </row>
    <row r="1176" spans="1:13" x14ac:dyDescent="0.3">
      <c r="A1176" t="s">
        <v>2556</v>
      </c>
      <c r="B1176" t="s">
        <v>2557</v>
      </c>
      <c r="C1176" t="s">
        <v>1219</v>
      </c>
      <c r="D1176" t="s">
        <v>1972</v>
      </c>
      <c r="E1176">
        <v>4200</v>
      </c>
      <c r="F1176">
        <v>2590</v>
      </c>
      <c r="G1176">
        <v>38</v>
      </c>
      <c r="H1176">
        <v>1610</v>
      </c>
      <c r="I1176" t="s">
        <v>167</v>
      </c>
      <c r="J1176">
        <v>4.0999999999999996</v>
      </c>
      <c r="K1176">
        <v>63</v>
      </c>
      <c r="L1176">
        <v>0.22187499999999999</v>
      </c>
      <c r="M1176" t="s">
        <v>18</v>
      </c>
    </row>
    <row r="1177" spans="1:13" x14ac:dyDescent="0.3">
      <c r="A1177" t="s">
        <v>2558</v>
      </c>
      <c r="B1177" t="s">
        <v>2559</v>
      </c>
      <c r="C1177" t="s">
        <v>1219</v>
      </c>
      <c r="D1177" t="s">
        <v>1972</v>
      </c>
      <c r="E1177">
        <v>1599</v>
      </c>
      <c r="F1177">
        <v>899</v>
      </c>
      <c r="G1177">
        <v>44</v>
      </c>
      <c r="H1177">
        <v>700</v>
      </c>
      <c r="I1177" t="s">
        <v>64</v>
      </c>
      <c r="J1177">
        <v>3.4</v>
      </c>
      <c r="K1177">
        <v>15</v>
      </c>
      <c r="L1177">
        <v>0.3573529411764706</v>
      </c>
      <c r="M1177" t="s">
        <v>18</v>
      </c>
    </row>
    <row r="1178" spans="1:13" x14ac:dyDescent="0.3">
      <c r="A1178" t="s">
        <v>2560</v>
      </c>
      <c r="B1178" t="s">
        <v>2561</v>
      </c>
      <c r="C1178" t="s">
        <v>1219</v>
      </c>
      <c r="D1178" t="s">
        <v>1972</v>
      </c>
      <c r="E1178">
        <v>2999</v>
      </c>
      <c r="F1178">
        <v>998</v>
      </c>
      <c r="G1178">
        <v>67</v>
      </c>
      <c r="H1178">
        <v>2001</v>
      </c>
      <c r="I1178" t="s">
        <v>64</v>
      </c>
      <c r="J1178">
        <v>4.5999999999999996</v>
      </c>
      <c r="K1178">
        <v>9</v>
      </c>
      <c r="L1178">
        <v>0.58699999999999997</v>
      </c>
      <c r="M1178" t="s">
        <v>18</v>
      </c>
    </row>
    <row r="1179" spans="1:13" x14ac:dyDescent="0.3">
      <c r="A1179" t="s">
        <v>2562</v>
      </c>
      <c r="B1179" t="s">
        <v>2563</v>
      </c>
      <c r="C1179" t="s">
        <v>1219</v>
      </c>
      <c r="D1179" t="s">
        <v>2048</v>
      </c>
      <c r="E1179">
        <v>1282</v>
      </c>
      <c r="F1179">
        <v>998.06</v>
      </c>
      <c r="G1179">
        <v>22</v>
      </c>
      <c r="H1179">
        <v>283.94000000000011</v>
      </c>
      <c r="I1179" t="s">
        <v>64</v>
      </c>
      <c r="J1179">
        <v>4.2</v>
      </c>
      <c r="K1179">
        <v>7274</v>
      </c>
      <c r="L1179">
        <v>0.2330882352941176</v>
      </c>
      <c r="M1179" t="s">
        <v>18</v>
      </c>
    </row>
    <row r="1180" spans="1:13" x14ac:dyDescent="0.3">
      <c r="A1180" t="s">
        <v>2564</v>
      </c>
      <c r="B1180" t="s">
        <v>2565</v>
      </c>
      <c r="C1180" t="s">
        <v>1219</v>
      </c>
      <c r="D1180" t="s">
        <v>2137</v>
      </c>
      <c r="E1180">
        <v>1990</v>
      </c>
      <c r="F1180">
        <v>1099</v>
      </c>
      <c r="G1180">
        <v>45</v>
      </c>
      <c r="H1180">
        <v>891</v>
      </c>
      <c r="I1180" t="s">
        <v>64</v>
      </c>
      <c r="J1180">
        <v>3.9</v>
      </c>
      <c r="K1180">
        <v>5911</v>
      </c>
      <c r="L1180">
        <v>0.25714285714285717</v>
      </c>
      <c r="M1180" t="s">
        <v>18</v>
      </c>
    </row>
    <row r="1181" spans="1:13" x14ac:dyDescent="0.3">
      <c r="A1181" t="s">
        <v>2566</v>
      </c>
      <c r="B1181" t="s">
        <v>2567</v>
      </c>
      <c r="C1181" t="s">
        <v>1219</v>
      </c>
      <c r="D1181" t="s">
        <v>2157</v>
      </c>
      <c r="E1181">
        <v>9999</v>
      </c>
      <c r="F1181">
        <v>5999</v>
      </c>
      <c r="G1181">
        <v>40</v>
      </c>
      <c r="H1181">
        <v>4000</v>
      </c>
      <c r="I1181" t="s">
        <v>55</v>
      </c>
      <c r="J1181">
        <v>4.2</v>
      </c>
      <c r="K1181">
        <v>170</v>
      </c>
      <c r="L1181">
        <v>0.4242156862745099</v>
      </c>
      <c r="M1181" t="s">
        <v>18</v>
      </c>
    </row>
    <row r="1182" spans="1:13" x14ac:dyDescent="0.3">
      <c r="A1182" t="s">
        <v>2568</v>
      </c>
      <c r="B1182" t="s">
        <v>2569</v>
      </c>
      <c r="C1182" t="s">
        <v>1219</v>
      </c>
      <c r="D1182" t="s">
        <v>2279</v>
      </c>
      <c r="E1182">
        <v>11850</v>
      </c>
      <c r="F1182">
        <v>8886</v>
      </c>
      <c r="G1182">
        <v>25</v>
      </c>
      <c r="H1182">
        <v>2964</v>
      </c>
      <c r="I1182" t="s">
        <v>55</v>
      </c>
      <c r="J1182">
        <v>4.2</v>
      </c>
      <c r="K1182">
        <v>3065</v>
      </c>
      <c r="L1182">
        <v>0.21105384615384609</v>
      </c>
      <c r="M1182" t="s">
        <v>18</v>
      </c>
    </row>
    <row r="1183" spans="1:13" x14ac:dyDescent="0.3">
      <c r="A1183" t="s">
        <v>2570</v>
      </c>
      <c r="B1183" t="s">
        <v>2571</v>
      </c>
      <c r="C1183" t="s">
        <v>1219</v>
      </c>
      <c r="D1183" t="s">
        <v>1975</v>
      </c>
      <c r="E1183">
        <v>999</v>
      </c>
      <c r="F1183">
        <v>475</v>
      </c>
      <c r="G1183">
        <v>52</v>
      </c>
      <c r="H1183">
        <v>524</v>
      </c>
      <c r="I1183" t="s">
        <v>17</v>
      </c>
      <c r="J1183">
        <v>4.0999999999999996</v>
      </c>
      <c r="K1183">
        <v>1021</v>
      </c>
      <c r="L1183">
        <v>0.30910606060606061</v>
      </c>
      <c r="M1183" t="s">
        <v>18</v>
      </c>
    </row>
    <row r="1184" spans="1:13" x14ac:dyDescent="0.3">
      <c r="A1184" t="s">
        <v>2572</v>
      </c>
      <c r="B1184" t="s">
        <v>2573</v>
      </c>
      <c r="C1184" t="s">
        <v>1219</v>
      </c>
      <c r="D1184" t="s">
        <v>2045</v>
      </c>
      <c r="E1184">
        <v>20049</v>
      </c>
      <c r="F1184">
        <v>4995</v>
      </c>
      <c r="G1184">
        <v>75</v>
      </c>
      <c r="H1184">
        <v>15054</v>
      </c>
      <c r="I1184" t="s">
        <v>167</v>
      </c>
      <c r="J1184">
        <v>4.8</v>
      </c>
      <c r="K1184">
        <v>3964</v>
      </c>
      <c r="L1184">
        <v>0.29011904761904761</v>
      </c>
      <c r="M1184" t="s">
        <v>18</v>
      </c>
    </row>
    <row r="1185" spans="1:13" x14ac:dyDescent="0.3">
      <c r="A1185" t="s">
        <v>2574</v>
      </c>
      <c r="B1185" t="s">
        <v>2575</v>
      </c>
      <c r="C1185" t="s">
        <v>1219</v>
      </c>
      <c r="D1185" t="s">
        <v>2311</v>
      </c>
      <c r="E1185">
        <v>24850</v>
      </c>
      <c r="F1185">
        <v>13999</v>
      </c>
      <c r="G1185">
        <v>44</v>
      </c>
      <c r="H1185">
        <v>10851</v>
      </c>
      <c r="I1185" t="s">
        <v>55</v>
      </c>
      <c r="J1185">
        <v>4.4000000000000004</v>
      </c>
      <c r="K1185">
        <v>8948</v>
      </c>
      <c r="L1185">
        <v>0.4120833333333333</v>
      </c>
      <c r="M1185" t="s">
        <v>18</v>
      </c>
    </row>
    <row r="1186" spans="1:13" x14ac:dyDescent="0.3">
      <c r="A1186" t="s">
        <v>2576</v>
      </c>
      <c r="B1186" t="s">
        <v>2577</v>
      </c>
      <c r="C1186" t="s">
        <v>1219</v>
      </c>
      <c r="D1186" t="s">
        <v>2311</v>
      </c>
      <c r="E1186">
        <v>16490</v>
      </c>
      <c r="F1186">
        <v>8499</v>
      </c>
      <c r="G1186">
        <v>48</v>
      </c>
      <c r="H1186">
        <v>7991</v>
      </c>
      <c r="I1186" t="s">
        <v>55</v>
      </c>
      <c r="J1186">
        <v>4.3</v>
      </c>
      <c r="K1186">
        <v>97</v>
      </c>
      <c r="L1186">
        <v>0.30925287356321829</v>
      </c>
      <c r="M1186" t="s">
        <v>18</v>
      </c>
    </row>
    <row r="1187" spans="1:13" x14ac:dyDescent="0.3">
      <c r="A1187" t="s">
        <v>2578</v>
      </c>
      <c r="B1187" t="s">
        <v>2579</v>
      </c>
      <c r="C1187" t="s">
        <v>1219</v>
      </c>
      <c r="D1187" t="s">
        <v>2004</v>
      </c>
      <c r="E1187">
        <v>975</v>
      </c>
      <c r="F1187">
        <v>949</v>
      </c>
      <c r="G1187">
        <v>3</v>
      </c>
      <c r="H1187">
        <v>26</v>
      </c>
      <c r="I1187" t="s">
        <v>64</v>
      </c>
      <c r="J1187">
        <v>4.3</v>
      </c>
      <c r="K1187">
        <v>7223</v>
      </c>
      <c r="L1187">
        <v>0.35476190476190478</v>
      </c>
      <c r="M1187" t="s">
        <v>18</v>
      </c>
    </row>
    <row r="1188" spans="1:13" x14ac:dyDescent="0.3">
      <c r="A1188" t="s">
        <v>2580</v>
      </c>
      <c r="B1188" t="s">
        <v>2581</v>
      </c>
      <c r="C1188" t="s">
        <v>1219</v>
      </c>
      <c r="D1188" t="s">
        <v>2048</v>
      </c>
      <c r="E1188">
        <v>499</v>
      </c>
      <c r="F1188">
        <v>395</v>
      </c>
      <c r="G1188">
        <v>21</v>
      </c>
      <c r="H1188">
        <v>104</v>
      </c>
      <c r="I1188" t="s">
        <v>17</v>
      </c>
      <c r="J1188">
        <v>4</v>
      </c>
      <c r="K1188">
        <v>330</v>
      </c>
      <c r="L1188">
        <v>-3.3750000000000002E-2</v>
      </c>
      <c r="M1188" t="s">
        <v>103</v>
      </c>
    </row>
    <row r="1189" spans="1:13" x14ac:dyDescent="0.3">
      <c r="A1189" t="s">
        <v>2582</v>
      </c>
      <c r="B1189" t="s">
        <v>2583</v>
      </c>
      <c r="C1189" t="s">
        <v>1219</v>
      </c>
      <c r="D1189" t="s">
        <v>2584</v>
      </c>
      <c r="E1189">
        <v>635</v>
      </c>
      <c r="F1189">
        <v>635</v>
      </c>
      <c r="G1189">
        <v>0</v>
      </c>
      <c r="H1189">
        <v>0</v>
      </c>
      <c r="I1189" t="s">
        <v>64</v>
      </c>
      <c r="J1189">
        <v>4.3</v>
      </c>
      <c r="K1189">
        <v>4570</v>
      </c>
      <c r="L1189">
        <v>0.28999999999999998</v>
      </c>
      <c r="M1189" t="s">
        <v>18</v>
      </c>
    </row>
    <row r="1190" spans="1:13" x14ac:dyDescent="0.3">
      <c r="A1190" t="s">
        <v>2585</v>
      </c>
      <c r="B1190" t="s">
        <v>2586</v>
      </c>
      <c r="C1190" t="s">
        <v>1219</v>
      </c>
      <c r="D1190" t="s">
        <v>2004</v>
      </c>
      <c r="E1190">
        <v>1390</v>
      </c>
      <c r="F1190">
        <v>717</v>
      </c>
      <c r="G1190">
        <v>48</v>
      </c>
      <c r="H1190">
        <v>673</v>
      </c>
      <c r="I1190" t="s">
        <v>64</v>
      </c>
      <c r="J1190">
        <v>4</v>
      </c>
      <c r="K1190">
        <v>4867</v>
      </c>
      <c r="L1190">
        <v>0.47766666666666657</v>
      </c>
      <c r="M1190" t="s">
        <v>18</v>
      </c>
    </row>
    <row r="1191" spans="1:13" x14ac:dyDescent="0.3">
      <c r="A1191" t="s">
        <v>2587</v>
      </c>
      <c r="B1191" t="s">
        <v>2588</v>
      </c>
      <c r="C1191" t="s">
        <v>1219</v>
      </c>
      <c r="D1191" t="s">
        <v>2589</v>
      </c>
      <c r="E1191">
        <v>59900</v>
      </c>
      <c r="F1191">
        <v>27900</v>
      </c>
      <c r="G1191">
        <v>53</v>
      </c>
      <c r="H1191">
        <v>32000</v>
      </c>
      <c r="I1191" t="s">
        <v>102</v>
      </c>
      <c r="J1191">
        <v>4.4000000000000004</v>
      </c>
      <c r="K1191">
        <v>5298</v>
      </c>
      <c r="L1191">
        <v>0.1840201392810088</v>
      </c>
      <c r="M1191" t="s">
        <v>18</v>
      </c>
    </row>
    <row r="1192" spans="1:13" x14ac:dyDescent="0.3">
      <c r="A1192" t="s">
        <v>2590</v>
      </c>
      <c r="B1192" t="s">
        <v>2591</v>
      </c>
      <c r="C1192" t="s">
        <v>1219</v>
      </c>
      <c r="D1192" t="s">
        <v>2215</v>
      </c>
      <c r="E1192">
        <v>670</v>
      </c>
      <c r="F1192">
        <v>649</v>
      </c>
      <c r="G1192">
        <v>3</v>
      </c>
      <c r="H1192">
        <v>21</v>
      </c>
      <c r="I1192" t="s">
        <v>64</v>
      </c>
      <c r="J1192">
        <v>4.0999999999999996</v>
      </c>
      <c r="K1192">
        <v>7786</v>
      </c>
      <c r="L1192">
        <v>0.54357142857142848</v>
      </c>
      <c r="M1192" t="s">
        <v>18</v>
      </c>
    </row>
    <row r="1193" spans="1:13" x14ac:dyDescent="0.3">
      <c r="A1193" t="s">
        <v>2592</v>
      </c>
      <c r="B1193" t="s">
        <v>2593</v>
      </c>
      <c r="C1193" t="s">
        <v>1219</v>
      </c>
      <c r="D1193" t="s">
        <v>2212</v>
      </c>
      <c r="E1193">
        <v>399</v>
      </c>
      <c r="F1193">
        <v>193</v>
      </c>
      <c r="G1193">
        <v>52</v>
      </c>
      <c r="H1193">
        <v>206</v>
      </c>
      <c r="I1193" t="s">
        <v>17</v>
      </c>
      <c r="J1193">
        <v>3.6</v>
      </c>
      <c r="K1193">
        <v>37</v>
      </c>
      <c r="L1193">
        <v>0.24547619047619049</v>
      </c>
      <c r="M1193" t="s">
        <v>18</v>
      </c>
    </row>
    <row r="1194" spans="1:13" x14ac:dyDescent="0.3">
      <c r="A1194" t="s">
        <v>2594</v>
      </c>
      <c r="B1194" t="s">
        <v>2595</v>
      </c>
      <c r="C1194" t="s">
        <v>1219</v>
      </c>
      <c r="D1194" t="s">
        <v>1972</v>
      </c>
      <c r="E1194">
        <v>2495</v>
      </c>
      <c r="F1194">
        <v>1299</v>
      </c>
      <c r="G1194">
        <v>48</v>
      </c>
      <c r="H1194">
        <v>1196</v>
      </c>
      <c r="I1194" t="s">
        <v>64</v>
      </c>
      <c r="J1194">
        <v>2</v>
      </c>
      <c r="K1194">
        <v>2</v>
      </c>
      <c r="L1194">
        <v>0.755</v>
      </c>
      <c r="M1194" t="s">
        <v>18</v>
      </c>
    </row>
    <row r="1195" spans="1:13" x14ac:dyDescent="0.3">
      <c r="A1195" t="s">
        <v>2596</v>
      </c>
      <c r="B1195" t="s">
        <v>2597</v>
      </c>
      <c r="C1195" t="s">
        <v>1219</v>
      </c>
      <c r="D1195" t="s">
        <v>2007</v>
      </c>
      <c r="E1195">
        <v>3390</v>
      </c>
      <c r="F1195">
        <v>2449</v>
      </c>
      <c r="G1195">
        <v>28</v>
      </c>
      <c r="H1195">
        <v>941</v>
      </c>
      <c r="I1195" t="s">
        <v>167</v>
      </c>
      <c r="J1195">
        <v>4</v>
      </c>
      <c r="K1195">
        <v>5206</v>
      </c>
      <c r="L1195">
        <v>0.38138888888888889</v>
      </c>
      <c r="M1195" t="s">
        <v>18</v>
      </c>
    </row>
    <row r="1196" spans="1:13" x14ac:dyDescent="0.3">
      <c r="A1196" t="s">
        <v>2598</v>
      </c>
      <c r="B1196" t="s">
        <v>2599</v>
      </c>
      <c r="C1196" t="s">
        <v>1219</v>
      </c>
      <c r="D1196" t="s">
        <v>2010</v>
      </c>
      <c r="E1196">
        <v>2499</v>
      </c>
      <c r="F1196">
        <v>1049</v>
      </c>
      <c r="G1196">
        <v>58</v>
      </c>
      <c r="H1196">
        <v>1450</v>
      </c>
      <c r="I1196" t="s">
        <v>64</v>
      </c>
      <c r="J1196">
        <v>3.7</v>
      </c>
      <c r="K1196">
        <v>638</v>
      </c>
      <c r="L1196">
        <v>0.36249999999999999</v>
      </c>
      <c r="M1196" t="s">
        <v>18</v>
      </c>
    </row>
    <row r="1197" spans="1:13" x14ac:dyDescent="0.3">
      <c r="A1197" t="s">
        <v>2600</v>
      </c>
      <c r="B1197" t="s">
        <v>2601</v>
      </c>
      <c r="C1197" t="s">
        <v>1219</v>
      </c>
      <c r="D1197" t="s">
        <v>2501</v>
      </c>
      <c r="E1197">
        <v>4200</v>
      </c>
      <c r="F1197">
        <v>2399</v>
      </c>
      <c r="G1197">
        <v>43</v>
      </c>
      <c r="H1197">
        <v>1801</v>
      </c>
      <c r="I1197" t="s">
        <v>167</v>
      </c>
      <c r="J1197">
        <v>3.8</v>
      </c>
      <c r="K1197">
        <v>397</v>
      </c>
      <c r="L1197">
        <v>2.4074074074074001E-2</v>
      </c>
      <c r="M1197" t="s">
        <v>103</v>
      </c>
    </row>
    <row r="1198" spans="1:13" x14ac:dyDescent="0.3">
      <c r="A1198" t="s">
        <v>2602</v>
      </c>
      <c r="B1198" t="s">
        <v>2603</v>
      </c>
      <c r="C1198" t="s">
        <v>1219</v>
      </c>
      <c r="D1198" t="s">
        <v>2067</v>
      </c>
      <c r="E1198">
        <v>4495</v>
      </c>
      <c r="F1198">
        <v>2286</v>
      </c>
      <c r="G1198">
        <v>49</v>
      </c>
      <c r="H1198">
        <v>2209</v>
      </c>
      <c r="I1198" t="s">
        <v>167</v>
      </c>
      <c r="J1198">
        <v>3.9</v>
      </c>
      <c r="K1198">
        <v>326</v>
      </c>
      <c r="L1198">
        <v>0.2056167056986728</v>
      </c>
      <c r="M1198" t="s">
        <v>18</v>
      </c>
    </row>
    <row r="1199" spans="1:13" x14ac:dyDescent="0.3">
      <c r="A1199" t="s">
        <v>2604</v>
      </c>
      <c r="B1199" t="s">
        <v>2605</v>
      </c>
      <c r="C1199" t="s">
        <v>1219</v>
      </c>
      <c r="D1199" t="s">
        <v>2412</v>
      </c>
      <c r="E1199">
        <v>2199</v>
      </c>
      <c r="F1199">
        <v>499</v>
      </c>
      <c r="G1199">
        <v>77</v>
      </c>
      <c r="H1199">
        <v>1700</v>
      </c>
      <c r="I1199" t="s">
        <v>17</v>
      </c>
      <c r="J1199">
        <v>3.1</v>
      </c>
      <c r="K1199">
        <v>3527</v>
      </c>
      <c r="L1199">
        <v>0.23733333333333331</v>
      </c>
      <c r="M1199" t="s">
        <v>18</v>
      </c>
    </row>
    <row r="1200" spans="1:13" x14ac:dyDescent="0.3">
      <c r="A1200" t="s">
        <v>2606</v>
      </c>
      <c r="B1200" t="s">
        <v>2607</v>
      </c>
      <c r="C1200" t="s">
        <v>1219</v>
      </c>
      <c r="D1200" t="s">
        <v>2134</v>
      </c>
      <c r="E1200">
        <v>999</v>
      </c>
      <c r="F1200">
        <v>429</v>
      </c>
      <c r="G1200">
        <v>57</v>
      </c>
      <c r="H1200">
        <v>570</v>
      </c>
      <c r="I1200" t="s">
        <v>17</v>
      </c>
      <c r="J1200">
        <v>3</v>
      </c>
      <c r="K1200">
        <v>617</v>
      </c>
      <c r="L1200">
        <v>0.1067619047619047</v>
      </c>
      <c r="M1200" t="s">
        <v>18</v>
      </c>
    </row>
    <row r="1201" spans="1:13" x14ac:dyDescent="0.3">
      <c r="A1201" t="s">
        <v>2608</v>
      </c>
      <c r="B1201" t="s">
        <v>2609</v>
      </c>
      <c r="C1201" t="s">
        <v>1219</v>
      </c>
      <c r="D1201" t="s">
        <v>2087</v>
      </c>
      <c r="E1201">
        <v>595</v>
      </c>
      <c r="F1201">
        <v>299</v>
      </c>
      <c r="G1201">
        <v>50</v>
      </c>
      <c r="H1201">
        <v>296</v>
      </c>
      <c r="I1201" t="s">
        <v>17</v>
      </c>
      <c r="J1201">
        <v>4</v>
      </c>
      <c r="K1201">
        <v>314</v>
      </c>
      <c r="L1201">
        <v>0.17953125</v>
      </c>
      <c r="M1201" t="s">
        <v>18</v>
      </c>
    </row>
    <row r="1202" spans="1:13" x14ac:dyDescent="0.3">
      <c r="A1202" t="s">
        <v>2610</v>
      </c>
      <c r="B1202" t="s">
        <v>2611</v>
      </c>
      <c r="C1202" t="s">
        <v>1219</v>
      </c>
      <c r="D1202" t="s">
        <v>2311</v>
      </c>
      <c r="E1202">
        <v>19990</v>
      </c>
      <c r="F1202">
        <v>5395</v>
      </c>
      <c r="G1202">
        <v>73</v>
      </c>
      <c r="H1202">
        <v>14595</v>
      </c>
      <c r="I1202" t="s">
        <v>55</v>
      </c>
      <c r="J1202">
        <v>4.4000000000000004</v>
      </c>
      <c r="K1202">
        <v>535</v>
      </c>
      <c r="L1202">
        <v>0.12900432900432901</v>
      </c>
      <c r="M1202" t="s">
        <v>18</v>
      </c>
    </row>
    <row r="1203" spans="1:13" x14ac:dyDescent="0.3">
      <c r="A1203" t="s">
        <v>2612</v>
      </c>
      <c r="B1203" t="s">
        <v>2613</v>
      </c>
      <c r="C1203" t="s">
        <v>1219</v>
      </c>
      <c r="D1203" t="s">
        <v>2004</v>
      </c>
      <c r="E1203">
        <v>1010</v>
      </c>
      <c r="F1203">
        <v>559</v>
      </c>
      <c r="G1203">
        <v>45</v>
      </c>
      <c r="H1203">
        <v>451</v>
      </c>
      <c r="I1203" t="s">
        <v>64</v>
      </c>
      <c r="J1203">
        <v>4.0999999999999996</v>
      </c>
      <c r="K1203">
        <v>17325</v>
      </c>
      <c r="L1203">
        <v>0.32962962962962972</v>
      </c>
      <c r="M1203" t="s">
        <v>18</v>
      </c>
    </row>
    <row r="1204" spans="1:13" x14ac:dyDescent="0.3">
      <c r="A1204" t="s">
        <v>2614</v>
      </c>
      <c r="B1204" t="s">
        <v>2615</v>
      </c>
      <c r="C1204" t="s">
        <v>1219</v>
      </c>
      <c r="D1204" t="s">
        <v>2004</v>
      </c>
      <c r="E1204">
        <v>1100</v>
      </c>
      <c r="F1204">
        <v>660</v>
      </c>
      <c r="G1204">
        <v>40</v>
      </c>
      <c r="H1204">
        <v>440</v>
      </c>
      <c r="I1204" t="s">
        <v>64</v>
      </c>
      <c r="J1204">
        <v>3.6</v>
      </c>
      <c r="K1204">
        <v>91</v>
      </c>
      <c r="L1204">
        <v>0.16574074074074069</v>
      </c>
      <c r="M1204" t="s">
        <v>18</v>
      </c>
    </row>
    <row r="1205" spans="1:13" x14ac:dyDescent="0.3">
      <c r="A1205" t="s">
        <v>2616</v>
      </c>
      <c r="B1205" t="s">
        <v>2617</v>
      </c>
      <c r="C1205" t="s">
        <v>1219</v>
      </c>
      <c r="D1205" t="s">
        <v>2080</v>
      </c>
      <c r="E1205">
        <v>999</v>
      </c>
      <c r="F1205">
        <v>419</v>
      </c>
      <c r="G1205">
        <v>58</v>
      </c>
      <c r="H1205">
        <v>580</v>
      </c>
      <c r="I1205" t="s">
        <v>17</v>
      </c>
      <c r="J1205">
        <v>4.4000000000000004</v>
      </c>
      <c r="K1205">
        <v>227</v>
      </c>
      <c r="L1205">
        <v>0.42583333333333329</v>
      </c>
      <c r="M1205" t="s">
        <v>18</v>
      </c>
    </row>
    <row r="1206" spans="1:13" x14ac:dyDescent="0.3">
      <c r="A1206" t="s">
        <v>2618</v>
      </c>
      <c r="B1206" t="s">
        <v>2619</v>
      </c>
      <c r="C1206" t="s">
        <v>1219</v>
      </c>
      <c r="D1206" t="s">
        <v>2023</v>
      </c>
      <c r="E1206">
        <v>10900</v>
      </c>
      <c r="F1206">
        <v>7349</v>
      </c>
      <c r="G1206">
        <v>33</v>
      </c>
      <c r="H1206">
        <v>3551</v>
      </c>
      <c r="I1206" t="s">
        <v>55</v>
      </c>
      <c r="J1206">
        <v>4.2</v>
      </c>
      <c r="K1206">
        <v>11957</v>
      </c>
      <c r="L1206">
        <v>0.15420634920634921</v>
      </c>
      <c r="M1206" t="s">
        <v>18</v>
      </c>
    </row>
    <row r="1207" spans="1:13" x14ac:dyDescent="0.3">
      <c r="A1207" t="s">
        <v>2620</v>
      </c>
      <c r="B1207" t="s">
        <v>2621</v>
      </c>
      <c r="C1207" t="s">
        <v>1219</v>
      </c>
      <c r="D1207" t="s">
        <v>2137</v>
      </c>
      <c r="E1207">
        <v>4005</v>
      </c>
      <c r="F1207">
        <v>2899</v>
      </c>
      <c r="G1207">
        <v>28</v>
      </c>
      <c r="H1207">
        <v>1106</v>
      </c>
      <c r="I1207" t="s">
        <v>167</v>
      </c>
      <c r="J1207">
        <v>4.3</v>
      </c>
      <c r="K1207">
        <v>7140</v>
      </c>
      <c r="L1207">
        <v>0.23612745098039209</v>
      </c>
      <c r="M1207" t="s">
        <v>18</v>
      </c>
    </row>
    <row r="1208" spans="1:13" x14ac:dyDescent="0.3">
      <c r="A1208" t="s">
        <v>2622</v>
      </c>
      <c r="B1208" t="s">
        <v>2623</v>
      </c>
      <c r="C1208" t="s">
        <v>1219</v>
      </c>
      <c r="D1208" t="s">
        <v>2067</v>
      </c>
      <c r="E1208">
        <v>3295</v>
      </c>
      <c r="F1208">
        <v>1799</v>
      </c>
      <c r="G1208">
        <v>45</v>
      </c>
      <c r="H1208">
        <v>1496</v>
      </c>
      <c r="I1208" t="s">
        <v>167</v>
      </c>
      <c r="J1208">
        <v>3.8</v>
      </c>
      <c r="K1208">
        <v>687</v>
      </c>
      <c r="L1208">
        <v>0.24581402831402829</v>
      </c>
      <c r="M1208" t="s">
        <v>18</v>
      </c>
    </row>
    <row r="1209" spans="1:13" x14ac:dyDescent="0.3">
      <c r="A1209" t="s">
        <v>2624</v>
      </c>
      <c r="B1209" t="s">
        <v>2625</v>
      </c>
      <c r="C1209" t="s">
        <v>1219</v>
      </c>
      <c r="D1209" t="s">
        <v>2087</v>
      </c>
      <c r="E1209">
        <v>4650</v>
      </c>
      <c r="F1209">
        <v>1474</v>
      </c>
      <c r="G1209">
        <v>68</v>
      </c>
      <c r="H1209">
        <v>3176</v>
      </c>
      <c r="I1209" t="s">
        <v>64</v>
      </c>
      <c r="J1209">
        <v>4.0999999999999996</v>
      </c>
      <c r="K1209">
        <v>1045</v>
      </c>
      <c r="L1209">
        <v>0.30777777777777782</v>
      </c>
      <c r="M1209" t="s">
        <v>18</v>
      </c>
    </row>
    <row r="1210" spans="1:13" x14ac:dyDescent="0.3">
      <c r="A1210" t="s">
        <v>2626</v>
      </c>
      <c r="B1210" t="s">
        <v>2627</v>
      </c>
      <c r="C1210" t="s">
        <v>1219</v>
      </c>
      <c r="D1210" t="s">
        <v>2311</v>
      </c>
      <c r="E1210">
        <v>24500</v>
      </c>
      <c r="F1210">
        <v>15999</v>
      </c>
      <c r="G1210">
        <v>35</v>
      </c>
      <c r="H1210">
        <v>8501</v>
      </c>
      <c r="I1210" t="s">
        <v>55</v>
      </c>
      <c r="J1210">
        <v>4</v>
      </c>
      <c r="K1210">
        <v>11206</v>
      </c>
      <c r="L1210">
        <v>0.17048160173160171</v>
      </c>
      <c r="M1210" t="s">
        <v>18</v>
      </c>
    </row>
    <row r="1211" spans="1:13" x14ac:dyDescent="0.3">
      <c r="A1211" t="s">
        <v>2628</v>
      </c>
      <c r="B1211" t="s">
        <v>2629</v>
      </c>
      <c r="C1211" t="s">
        <v>1219</v>
      </c>
      <c r="D1211" t="s">
        <v>2010</v>
      </c>
      <c r="E1211">
        <v>6070</v>
      </c>
      <c r="F1211">
        <v>3645</v>
      </c>
      <c r="G1211">
        <v>40</v>
      </c>
      <c r="H1211">
        <v>2425</v>
      </c>
      <c r="I1211" t="s">
        <v>167</v>
      </c>
      <c r="J1211">
        <v>4.2</v>
      </c>
      <c r="K1211">
        <v>561</v>
      </c>
      <c r="L1211">
        <v>0.17578160243208779</v>
      </c>
      <c r="M1211" t="s">
        <v>18</v>
      </c>
    </row>
    <row r="1212" spans="1:13" x14ac:dyDescent="0.3">
      <c r="A1212" t="s">
        <v>2630</v>
      </c>
      <c r="B1212" t="s">
        <v>2631</v>
      </c>
      <c r="C1212" t="s">
        <v>1219</v>
      </c>
      <c r="D1212" t="s">
        <v>2001</v>
      </c>
      <c r="E1212">
        <v>999</v>
      </c>
      <c r="F1212">
        <v>375</v>
      </c>
      <c r="G1212">
        <v>62</v>
      </c>
      <c r="H1212">
        <v>624</v>
      </c>
      <c r="I1212" t="s">
        <v>17</v>
      </c>
      <c r="J1212">
        <v>3.6</v>
      </c>
      <c r="K1212">
        <v>1988</v>
      </c>
      <c r="L1212">
        <v>0.29077380952380949</v>
      </c>
      <c r="M1212" t="s">
        <v>18</v>
      </c>
    </row>
    <row r="1213" spans="1:13" x14ac:dyDescent="0.3">
      <c r="A1213" t="s">
        <v>2632</v>
      </c>
      <c r="B1213" t="s">
        <v>2633</v>
      </c>
      <c r="C1213" t="s">
        <v>1219</v>
      </c>
      <c r="D1213" t="s">
        <v>2226</v>
      </c>
      <c r="E1213">
        <v>3945</v>
      </c>
      <c r="F1213">
        <v>2976</v>
      </c>
      <c r="G1213">
        <v>25</v>
      </c>
      <c r="H1213">
        <v>969</v>
      </c>
      <c r="I1213" t="s">
        <v>167</v>
      </c>
      <c r="J1213">
        <v>4.2</v>
      </c>
      <c r="K1213">
        <v>3740</v>
      </c>
      <c r="L1213">
        <v>0.30607142857142849</v>
      </c>
      <c r="M1213" t="s">
        <v>18</v>
      </c>
    </row>
    <row r="1214" spans="1:13" x14ac:dyDescent="0.3">
      <c r="A1214" t="s">
        <v>2634</v>
      </c>
      <c r="B1214" t="s">
        <v>2635</v>
      </c>
      <c r="C1214" t="s">
        <v>1219</v>
      </c>
      <c r="D1214" t="s">
        <v>2516</v>
      </c>
      <c r="E1214">
        <v>1499</v>
      </c>
      <c r="F1214">
        <v>1099</v>
      </c>
      <c r="G1214">
        <v>27</v>
      </c>
      <c r="H1214">
        <v>400</v>
      </c>
      <c r="I1214" t="s">
        <v>64</v>
      </c>
      <c r="J1214">
        <v>4.0999999999999996</v>
      </c>
      <c r="K1214">
        <v>4401</v>
      </c>
      <c r="L1214">
        <v>0.34841856060606058</v>
      </c>
      <c r="M1214" t="s">
        <v>18</v>
      </c>
    </row>
    <row r="1215" spans="1:13" x14ac:dyDescent="0.3">
      <c r="A1215" t="s">
        <v>2636</v>
      </c>
      <c r="B1215" t="s">
        <v>2637</v>
      </c>
      <c r="C1215" t="s">
        <v>1219</v>
      </c>
      <c r="D1215" t="s">
        <v>2051</v>
      </c>
      <c r="E1215">
        <v>6700</v>
      </c>
      <c r="F1215">
        <v>2575</v>
      </c>
      <c r="G1215">
        <v>62</v>
      </c>
      <c r="H1215">
        <v>4125</v>
      </c>
      <c r="I1215" t="s">
        <v>167</v>
      </c>
      <c r="J1215">
        <v>4.2</v>
      </c>
      <c r="K1215">
        <v>611</v>
      </c>
      <c r="L1215">
        <v>0.22248542274052471</v>
      </c>
      <c r="M1215" t="s">
        <v>18</v>
      </c>
    </row>
    <row r="1216" spans="1:13" x14ac:dyDescent="0.3">
      <c r="A1216" t="s">
        <v>2638</v>
      </c>
      <c r="B1216" t="s">
        <v>2639</v>
      </c>
      <c r="C1216" t="s">
        <v>1219</v>
      </c>
      <c r="D1216" t="s">
        <v>2007</v>
      </c>
      <c r="E1216">
        <v>2800</v>
      </c>
      <c r="F1216">
        <v>1649</v>
      </c>
      <c r="G1216">
        <v>41</v>
      </c>
      <c r="H1216">
        <v>1151</v>
      </c>
      <c r="I1216" t="s">
        <v>167</v>
      </c>
      <c r="J1216">
        <v>3.9</v>
      </c>
      <c r="K1216">
        <v>2162</v>
      </c>
      <c r="L1216">
        <v>8.1944444444444403E-2</v>
      </c>
      <c r="M1216" t="s">
        <v>103</v>
      </c>
    </row>
    <row r="1217" spans="1:13" x14ac:dyDescent="0.3">
      <c r="A1217" t="s">
        <v>2640</v>
      </c>
      <c r="B1217" t="s">
        <v>2641</v>
      </c>
      <c r="C1217" t="s">
        <v>1219</v>
      </c>
      <c r="D1217" t="s">
        <v>2001</v>
      </c>
      <c r="E1217">
        <v>1699</v>
      </c>
      <c r="F1217">
        <v>799</v>
      </c>
      <c r="G1217">
        <v>53</v>
      </c>
      <c r="H1217">
        <v>900</v>
      </c>
      <c r="I1217" t="s">
        <v>64</v>
      </c>
      <c r="J1217">
        <v>4</v>
      </c>
      <c r="K1217">
        <v>97</v>
      </c>
      <c r="L1217">
        <v>0.34686507936507938</v>
      </c>
      <c r="M1217" t="s">
        <v>18</v>
      </c>
    </row>
    <row r="1218" spans="1:13" x14ac:dyDescent="0.3">
      <c r="A1218" t="s">
        <v>2642</v>
      </c>
      <c r="B1218" t="s">
        <v>2643</v>
      </c>
      <c r="C1218" t="s">
        <v>1219</v>
      </c>
      <c r="D1218" t="s">
        <v>2001</v>
      </c>
      <c r="E1218">
        <v>970</v>
      </c>
      <c r="F1218">
        <v>765</v>
      </c>
      <c r="G1218">
        <v>21</v>
      </c>
      <c r="H1218">
        <v>205</v>
      </c>
      <c r="I1218" t="s">
        <v>64</v>
      </c>
      <c r="J1218">
        <v>4.2</v>
      </c>
      <c r="K1218">
        <v>6055</v>
      </c>
      <c r="L1218">
        <v>0.22435439560439549</v>
      </c>
      <c r="M1218" t="s">
        <v>18</v>
      </c>
    </row>
    <row r="1219" spans="1:13" x14ac:dyDescent="0.3">
      <c r="A1219" t="s">
        <v>2644</v>
      </c>
      <c r="B1219" t="s">
        <v>2645</v>
      </c>
      <c r="C1219" t="s">
        <v>1219</v>
      </c>
      <c r="D1219" t="s">
        <v>1975</v>
      </c>
      <c r="E1219">
        <v>1500</v>
      </c>
      <c r="F1219">
        <v>999</v>
      </c>
      <c r="G1219">
        <v>33</v>
      </c>
      <c r="H1219">
        <v>501</v>
      </c>
      <c r="I1219" t="s">
        <v>64</v>
      </c>
      <c r="J1219">
        <v>4.2</v>
      </c>
      <c r="K1219">
        <v>386</v>
      </c>
      <c r="L1219">
        <v>0.38348484848484848</v>
      </c>
      <c r="M1219" t="s">
        <v>18</v>
      </c>
    </row>
    <row r="1220" spans="1:13" x14ac:dyDescent="0.3">
      <c r="A1220" t="s">
        <v>2646</v>
      </c>
      <c r="B1220" t="s">
        <v>2647</v>
      </c>
      <c r="C1220" t="s">
        <v>1219</v>
      </c>
      <c r="D1220" t="s">
        <v>2648</v>
      </c>
      <c r="E1220">
        <v>1295</v>
      </c>
      <c r="F1220">
        <v>587</v>
      </c>
      <c r="G1220">
        <v>55</v>
      </c>
      <c r="H1220">
        <v>708</v>
      </c>
      <c r="I1220" t="s">
        <v>64</v>
      </c>
      <c r="J1220">
        <v>4.0999999999999996</v>
      </c>
      <c r="K1220">
        <v>557</v>
      </c>
      <c r="L1220">
        <v>0.1734999999999999</v>
      </c>
      <c r="M1220" t="s">
        <v>18</v>
      </c>
    </row>
    <row r="1221" spans="1:13" x14ac:dyDescent="0.3">
      <c r="A1221" t="s">
        <v>2649</v>
      </c>
      <c r="B1221" t="s">
        <v>2650</v>
      </c>
      <c r="C1221" t="s">
        <v>1219</v>
      </c>
      <c r="D1221" t="s">
        <v>2651</v>
      </c>
      <c r="E1221">
        <v>23999</v>
      </c>
      <c r="F1221">
        <v>12609</v>
      </c>
      <c r="G1221">
        <v>47</v>
      </c>
      <c r="H1221">
        <v>11390</v>
      </c>
      <c r="I1221" t="s">
        <v>55</v>
      </c>
      <c r="J1221">
        <v>4.4000000000000004</v>
      </c>
      <c r="K1221">
        <v>2288</v>
      </c>
      <c r="L1221">
        <v>0.37555555555555548</v>
      </c>
      <c r="M1221" t="s">
        <v>18</v>
      </c>
    </row>
    <row r="1222" spans="1:13" x14ac:dyDescent="0.3">
      <c r="A1222" t="s">
        <v>2652</v>
      </c>
      <c r="B1222" t="s">
        <v>2653</v>
      </c>
      <c r="C1222" t="s">
        <v>1219</v>
      </c>
      <c r="D1222" t="s">
        <v>2004</v>
      </c>
      <c r="E1222">
        <v>850</v>
      </c>
      <c r="F1222">
        <v>699</v>
      </c>
      <c r="G1222">
        <v>18</v>
      </c>
      <c r="H1222">
        <v>151</v>
      </c>
      <c r="I1222" t="s">
        <v>64</v>
      </c>
      <c r="J1222">
        <v>4.0999999999999996</v>
      </c>
      <c r="K1222">
        <v>1106</v>
      </c>
      <c r="L1222">
        <v>0.51388888888888884</v>
      </c>
      <c r="M1222" t="s">
        <v>18</v>
      </c>
    </row>
    <row r="1223" spans="1:13" x14ac:dyDescent="0.3">
      <c r="A1223" t="s">
        <v>2654</v>
      </c>
      <c r="B1223" t="s">
        <v>2655</v>
      </c>
      <c r="C1223" t="s">
        <v>1219</v>
      </c>
      <c r="D1223" t="s">
        <v>2144</v>
      </c>
      <c r="E1223">
        <v>6000</v>
      </c>
      <c r="F1223">
        <v>3799</v>
      </c>
      <c r="G1223">
        <v>37</v>
      </c>
      <c r="H1223">
        <v>2201</v>
      </c>
      <c r="I1223" t="s">
        <v>167</v>
      </c>
      <c r="J1223">
        <v>4.2</v>
      </c>
      <c r="K1223">
        <v>11935</v>
      </c>
      <c r="L1223">
        <v>0.35142857142857142</v>
      </c>
      <c r="M1223" t="s">
        <v>18</v>
      </c>
    </row>
    <row r="1224" spans="1:13" x14ac:dyDescent="0.3">
      <c r="A1224" t="s">
        <v>2656</v>
      </c>
      <c r="B1224" t="s">
        <v>2657</v>
      </c>
      <c r="C1224" t="s">
        <v>1219</v>
      </c>
      <c r="D1224" t="s">
        <v>2038</v>
      </c>
      <c r="E1224">
        <v>1020</v>
      </c>
      <c r="F1224">
        <v>640</v>
      </c>
      <c r="G1224">
        <v>37</v>
      </c>
      <c r="H1224">
        <v>380</v>
      </c>
      <c r="I1224" t="s">
        <v>64</v>
      </c>
      <c r="J1224">
        <v>4.0999999999999996</v>
      </c>
      <c r="K1224">
        <v>5059</v>
      </c>
      <c r="L1224">
        <v>0.21666666666666659</v>
      </c>
      <c r="M1224" t="s">
        <v>18</v>
      </c>
    </row>
    <row r="1225" spans="1:13" x14ac:dyDescent="0.3">
      <c r="A1225" t="s">
        <v>2658</v>
      </c>
      <c r="B1225" t="s">
        <v>2659</v>
      </c>
      <c r="C1225" t="s">
        <v>1219</v>
      </c>
      <c r="D1225" t="s">
        <v>1972</v>
      </c>
      <c r="E1225">
        <v>1999</v>
      </c>
      <c r="F1225">
        <v>979</v>
      </c>
      <c r="G1225">
        <v>51</v>
      </c>
      <c r="H1225">
        <v>1020</v>
      </c>
      <c r="I1225" t="s">
        <v>64</v>
      </c>
      <c r="J1225">
        <v>3.9</v>
      </c>
      <c r="K1225">
        <v>157</v>
      </c>
      <c r="L1225">
        <v>0.30628851540616248</v>
      </c>
      <c r="M1225" t="s">
        <v>18</v>
      </c>
    </row>
    <row r="1226" spans="1:13" x14ac:dyDescent="0.3">
      <c r="A1226" t="s">
        <v>2660</v>
      </c>
      <c r="B1226" t="s">
        <v>2661</v>
      </c>
      <c r="C1226" t="s">
        <v>1219</v>
      </c>
      <c r="D1226" t="s">
        <v>2010</v>
      </c>
      <c r="E1226">
        <v>7445</v>
      </c>
      <c r="F1226">
        <v>5365</v>
      </c>
      <c r="G1226">
        <v>28</v>
      </c>
      <c r="H1226">
        <v>2080</v>
      </c>
      <c r="I1226" t="s">
        <v>55</v>
      </c>
      <c r="J1226">
        <v>3.9</v>
      </c>
      <c r="K1226">
        <v>3584</v>
      </c>
      <c r="L1226">
        <v>-7.8095238095237003E-3</v>
      </c>
      <c r="M1226" t="s">
        <v>103</v>
      </c>
    </row>
    <row r="1227" spans="1:13" x14ac:dyDescent="0.3">
      <c r="A1227" t="s">
        <v>2662</v>
      </c>
      <c r="B1227" t="s">
        <v>2663</v>
      </c>
      <c r="C1227" t="s">
        <v>1219</v>
      </c>
      <c r="D1227" t="s">
        <v>2051</v>
      </c>
      <c r="E1227">
        <v>3500</v>
      </c>
      <c r="F1227">
        <v>3199</v>
      </c>
      <c r="G1227">
        <v>9</v>
      </c>
      <c r="H1227">
        <v>301</v>
      </c>
      <c r="I1227" t="s">
        <v>167</v>
      </c>
      <c r="J1227">
        <v>4.2</v>
      </c>
      <c r="K1227">
        <v>1899</v>
      </c>
      <c r="L1227">
        <v>0.28611819727891158</v>
      </c>
      <c r="M1227" t="s">
        <v>18</v>
      </c>
    </row>
    <row r="1228" spans="1:13" x14ac:dyDescent="0.3">
      <c r="A1228" t="s">
        <v>2664</v>
      </c>
      <c r="B1228" t="s">
        <v>2665</v>
      </c>
      <c r="C1228" t="s">
        <v>1219</v>
      </c>
      <c r="D1228" t="s">
        <v>2367</v>
      </c>
      <c r="E1228">
        <v>1395</v>
      </c>
      <c r="F1228">
        <v>979</v>
      </c>
      <c r="G1228">
        <v>30</v>
      </c>
      <c r="H1228">
        <v>416</v>
      </c>
      <c r="I1228" t="s">
        <v>64</v>
      </c>
      <c r="J1228">
        <v>4.2</v>
      </c>
      <c r="K1228">
        <v>15252</v>
      </c>
      <c r="L1228">
        <v>0.19895833333333329</v>
      </c>
      <c r="M1228" t="s">
        <v>18</v>
      </c>
    </row>
    <row r="1229" spans="1:13" x14ac:dyDescent="0.3">
      <c r="A1229" t="s">
        <v>2666</v>
      </c>
      <c r="B1229" t="s">
        <v>2667</v>
      </c>
      <c r="C1229" t="s">
        <v>1219</v>
      </c>
      <c r="D1229" t="s">
        <v>1969</v>
      </c>
      <c r="E1229">
        <v>2199</v>
      </c>
      <c r="F1229">
        <v>929</v>
      </c>
      <c r="G1229">
        <v>58</v>
      </c>
      <c r="H1229">
        <v>1270</v>
      </c>
      <c r="I1229" t="s">
        <v>64</v>
      </c>
      <c r="J1229">
        <v>3.7</v>
      </c>
      <c r="K1229">
        <v>4</v>
      </c>
      <c r="L1229">
        <v>0.5</v>
      </c>
      <c r="M1229" t="s">
        <v>18</v>
      </c>
    </row>
    <row r="1230" spans="1:13" x14ac:dyDescent="0.3">
      <c r="A1230" t="s">
        <v>2668</v>
      </c>
      <c r="B1230" t="s">
        <v>2669</v>
      </c>
      <c r="C1230" t="s">
        <v>1219</v>
      </c>
      <c r="D1230" t="s">
        <v>2378</v>
      </c>
      <c r="E1230">
        <v>4330</v>
      </c>
      <c r="F1230">
        <v>3710</v>
      </c>
      <c r="G1230">
        <v>14</v>
      </c>
      <c r="H1230">
        <v>620</v>
      </c>
      <c r="I1230" t="s">
        <v>167</v>
      </c>
      <c r="J1230">
        <v>3.7</v>
      </c>
      <c r="K1230">
        <v>1662</v>
      </c>
      <c r="L1230">
        <v>0.57999999999999985</v>
      </c>
      <c r="M1230" t="s">
        <v>18</v>
      </c>
    </row>
    <row r="1231" spans="1:13" x14ac:dyDescent="0.3">
      <c r="A1231" t="s">
        <v>2670</v>
      </c>
      <c r="B1231" t="s">
        <v>2671</v>
      </c>
      <c r="C1231" t="s">
        <v>1219</v>
      </c>
      <c r="D1231" t="s">
        <v>2007</v>
      </c>
      <c r="E1231">
        <v>4295</v>
      </c>
      <c r="F1231">
        <v>2033</v>
      </c>
      <c r="G1231">
        <v>53</v>
      </c>
      <c r="H1231">
        <v>2262</v>
      </c>
      <c r="I1231" t="s">
        <v>167</v>
      </c>
      <c r="J1231">
        <v>3.4</v>
      </c>
      <c r="K1231">
        <v>422</v>
      </c>
      <c r="L1231">
        <v>0.1539965986394557</v>
      </c>
      <c r="M1231" t="s">
        <v>18</v>
      </c>
    </row>
    <row r="1232" spans="1:13" x14ac:dyDescent="0.3">
      <c r="A1232" t="s">
        <v>2672</v>
      </c>
      <c r="B1232" t="s">
        <v>2673</v>
      </c>
      <c r="C1232" t="s">
        <v>1219</v>
      </c>
      <c r="D1232" t="s">
        <v>1969</v>
      </c>
      <c r="E1232">
        <v>18990</v>
      </c>
      <c r="F1232">
        <v>9495</v>
      </c>
      <c r="G1232">
        <v>50</v>
      </c>
      <c r="H1232">
        <v>9495</v>
      </c>
      <c r="I1232" t="s">
        <v>55</v>
      </c>
      <c r="J1232">
        <v>4.2</v>
      </c>
      <c r="K1232">
        <v>79</v>
      </c>
      <c r="L1232">
        <v>0.227470238095238</v>
      </c>
      <c r="M1232" t="s">
        <v>18</v>
      </c>
    </row>
    <row r="1233" spans="1:13" x14ac:dyDescent="0.3">
      <c r="A1233" t="s">
        <v>2674</v>
      </c>
      <c r="B1233" t="s">
        <v>2675</v>
      </c>
      <c r="C1233" t="s">
        <v>1219</v>
      </c>
      <c r="D1233" t="s">
        <v>2023</v>
      </c>
      <c r="E1233">
        <v>12500</v>
      </c>
      <c r="F1233">
        <v>7799</v>
      </c>
      <c r="G1233">
        <v>38</v>
      </c>
      <c r="H1233">
        <v>4701</v>
      </c>
      <c r="I1233" t="s">
        <v>55</v>
      </c>
      <c r="J1233">
        <v>4</v>
      </c>
      <c r="K1233">
        <v>5160</v>
      </c>
      <c r="L1233">
        <v>0.1451612903225806</v>
      </c>
      <c r="M1233" t="s">
        <v>18</v>
      </c>
    </row>
    <row r="1234" spans="1:13" x14ac:dyDescent="0.3">
      <c r="A1234" t="s">
        <v>2676</v>
      </c>
      <c r="B1234" t="s">
        <v>2677</v>
      </c>
      <c r="C1234" t="s">
        <v>1219</v>
      </c>
      <c r="D1234" t="s">
        <v>1966</v>
      </c>
      <c r="E1234">
        <v>2385</v>
      </c>
      <c r="F1234">
        <v>949</v>
      </c>
      <c r="G1234">
        <v>60</v>
      </c>
      <c r="H1234">
        <v>1436</v>
      </c>
      <c r="I1234" t="s">
        <v>64</v>
      </c>
      <c r="J1234">
        <v>4.0999999999999996</v>
      </c>
      <c r="K1234">
        <v>2311</v>
      </c>
      <c r="L1234">
        <v>0.1616666666666666</v>
      </c>
      <c r="M1234" t="s">
        <v>18</v>
      </c>
    </row>
    <row r="1235" spans="1:13" x14ac:dyDescent="0.3">
      <c r="A1235" t="s">
        <v>2678</v>
      </c>
      <c r="B1235" t="s">
        <v>2679</v>
      </c>
      <c r="C1235" t="s">
        <v>1219</v>
      </c>
      <c r="D1235" t="s">
        <v>2010</v>
      </c>
      <c r="E1235">
        <v>4890</v>
      </c>
      <c r="F1235">
        <v>2790</v>
      </c>
      <c r="G1235">
        <v>43</v>
      </c>
      <c r="H1235">
        <v>2100</v>
      </c>
      <c r="I1235" t="s">
        <v>167</v>
      </c>
      <c r="J1235">
        <v>3.9</v>
      </c>
      <c r="K1235">
        <v>588</v>
      </c>
      <c r="L1235">
        <v>0.18648648648648641</v>
      </c>
      <c r="M1235" t="s">
        <v>18</v>
      </c>
    </row>
    <row r="1236" spans="1:13" x14ac:dyDescent="0.3">
      <c r="A1236" t="s">
        <v>2680</v>
      </c>
      <c r="B1236" t="s">
        <v>2681</v>
      </c>
      <c r="C1236" t="s">
        <v>1219</v>
      </c>
      <c r="D1236" t="s">
        <v>2004</v>
      </c>
      <c r="E1236">
        <v>1100</v>
      </c>
      <c r="F1236">
        <v>645</v>
      </c>
      <c r="G1236">
        <v>41</v>
      </c>
      <c r="H1236">
        <v>455</v>
      </c>
      <c r="I1236" t="s">
        <v>64</v>
      </c>
      <c r="J1236">
        <v>4</v>
      </c>
      <c r="K1236">
        <v>3271</v>
      </c>
      <c r="L1236">
        <v>0.43333333333333329</v>
      </c>
      <c r="M1236" t="s">
        <v>18</v>
      </c>
    </row>
    <row r="1237" spans="1:13" x14ac:dyDescent="0.3">
      <c r="A1237" t="s">
        <v>2682</v>
      </c>
      <c r="B1237" t="s">
        <v>2683</v>
      </c>
      <c r="C1237" t="s">
        <v>1219</v>
      </c>
      <c r="D1237" t="s">
        <v>2007</v>
      </c>
      <c r="E1237">
        <v>3899</v>
      </c>
      <c r="F1237">
        <v>2237.81</v>
      </c>
      <c r="G1237">
        <v>43</v>
      </c>
      <c r="H1237">
        <v>1661.19</v>
      </c>
      <c r="I1237" t="s">
        <v>167</v>
      </c>
      <c r="J1237">
        <v>3.9</v>
      </c>
      <c r="K1237">
        <v>11004</v>
      </c>
      <c r="L1237">
        <v>0.7</v>
      </c>
      <c r="M1237" t="s">
        <v>18</v>
      </c>
    </row>
    <row r="1238" spans="1:13" x14ac:dyDescent="0.3">
      <c r="A1238" t="s">
        <v>2684</v>
      </c>
      <c r="B1238" t="s">
        <v>2685</v>
      </c>
      <c r="C1238" t="s">
        <v>1219</v>
      </c>
      <c r="D1238" t="s">
        <v>2023</v>
      </c>
      <c r="E1238">
        <v>16899</v>
      </c>
      <c r="F1238">
        <v>8699</v>
      </c>
      <c r="G1238">
        <v>49</v>
      </c>
      <c r="H1238">
        <v>8200</v>
      </c>
      <c r="I1238" t="s">
        <v>55</v>
      </c>
      <c r="J1238">
        <v>4.2</v>
      </c>
      <c r="K1238">
        <v>3195</v>
      </c>
      <c r="L1238">
        <v>0.1118333333333333</v>
      </c>
      <c r="M1238" t="s">
        <v>18</v>
      </c>
    </row>
    <row r="1239" spans="1:13" x14ac:dyDescent="0.3">
      <c r="A1239" t="s">
        <v>2686</v>
      </c>
      <c r="B1239" t="s">
        <v>2687</v>
      </c>
      <c r="C1239" t="s">
        <v>1219</v>
      </c>
      <c r="D1239" t="s">
        <v>2688</v>
      </c>
      <c r="E1239">
        <v>75990</v>
      </c>
      <c r="F1239">
        <v>42990</v>
      </c>
      <c r="G1239">
        <v>43</v>
      </c>
      <c r="H1239">
        <v>33000</v>
      </c>
      <c r="I1239" t="s">
        <v>102</v>
      </c>
      <c r="J1239">
        <v>4.3</v>
      </c>
      <c r="K1239">
        <v>3231</v>
      </c>
      <c r="L1239">
        <v>0.17271505376344079</v>
      </c>
      <c r="M1239" t="s">
        <v>18</v>
      </c>
    </row>
    <row r="1240" spans="1:13" x14ac:dyDescent="0.3">
      <c r="A1240" t="s">
        <v>2689</v>
      </c>
      <c r="B1240" t="s">
        <v>2690</v>
      </c>
      <c r="C1240" t="s">
        <v>1219</v>
      </c>
      <c r="D1240" t="s">
        <v>2212</v>
      </c>
      <c r="E1240">
        <v>825</v>
      </c>
      <c r="F1240">
        <v>825</v>
      </c>
      <c r="G1240">
        <v>0</v>
      </c>
      <c r="H1240">
        <v>0</v>
      </c>
      <c r="I1240" t="s">
        <v>64</v>
      </c>
      <c r="J1240">
        <v>4</v>
      </c>
      <c r="K1240">
        <v>3246</v>
      </c>
      <c r="L1240">
        <v>5.9562524196670498E-2</v>
      </c>
      <c r="M1240" t="s">
        <v>103</v>
      </c>
    </row>
    <row r="1241" spans="1:13" x14ac:dyDescent="0.3">
      <c r="A1241" t="s">
        <v>2691</v>
      </c>
      <c r="B1241" t="s">
        <v>2692</v>
      </c>
      <c r="C1241" t="s">
        <v>1219</v>
      </c>
      <c r="D1241" t="s">
        <v>2134</v>
      </c>
      <c r="E1241">
        <v>300</v>
      </c>
      <c r="F1241">
        <v>161</v>
      </c>
      <c r="G1241">
        <v>46</v>
      </c>
      <c r="H1241">
        <v>139</v>
      </c>
      <c r="I1241" t="s">
        <v>17</v>
      </c>
      <c r="J1241">
        <v>2.6</v>
      </c>
      <c r="K1241">
        <v>24</v>
      </c>
      <c r="L1241">
        <v>0.14374999999999999</v>
      </c>
      <c r="M1241" t="s">
        <v>18</v>
      </c>
    </row>
    <row r="1242" spans="1:13" x14ac:dyDescent="0.3">
      <c r="A1242" t="s">
        <v>2693</v>
      </c>
      <c r="B1242" t="s">
        <v>2694</v>
      </c>
      <c r="C1242" t="s">
        <v>1219</v>
      </c>
      <c r="D1242" t="s">
        <v>1992</v>
      </c>
      <c r="E1242">
        <v>1499</v>
      </c>
      <c r="F1242">
        <v>697</v>
      </c>
      <c r="G1242">
        <v>54</v>
      </c>
      <c r="H1242">
        <v>802</v>
      </c>
      <c r="I1242" t="s">
        <v>64</v>
      </c>
      <c r="J1242">
        <v>3.8</v>
      </c>
      <c r="K1242">
        <v>144</v>
      </c>
      <c r="L1242">
        <v>8.1547619047618994E-2</v>
      </c>
      <c r="M1242" t="s">
        <v>103</v>
      </c>
    </row>
    <row r="1243" spans="1:13" x14ac:dyDescent="0.3">
      <c r="A1243" t="s">
        <v>2695</v>
      </c>
      <c r="B1243" t="s">
        <v>2696</v>
      </c>
      <c r="C1243" t="s">
        <v>1219</v>
      </c>
      <c r="D1243" t="s">
        <v>2697</v>
      </c>
      <c r="E1243">
        <v>747</v>
      </c>
      <c r="F1243">
        <v>688</v>
      </c>
      <c r="G1243">
        <v>8</v>
      </c>
      <c r="H1243">
        <v>59</v>
      </c>
      <c r="I1243" t="s">
        <v>64</v>
      </c>
      <c r="J1243">
        <v>4.5</v>
      </c>
      <c r="K1243">
        <v>2280</v>
      </c>
      <c r="L1243">
        <v>0.3887247474747475</v>
      </c>
      <c r="M1243" t="s">
        <v>18</v>
      </c>
    </row>
    <row r="1244" spans="1:13" x14ac:dyDescent="0.3">
      <c r="A1244" t="s">
        <v>2698</v>
      </c>
      <c r="B1244" t="s">
        <v>2699</v>
      </c>
      <c r="C1244" t="s">
        <v>1219</v>
      </c>
      <c r="D1244" t="s">
        <v>2160</v>
      </c>
      <c r="E1244">
        <v>3999</v>
      </c>
      <c r="F1244">
        <v>2199</v>
      </c>
      <c r="G1244">
        <v>45</v>
      </c>
      <c r="H1244">
        <v>1800</v>
      </c>
      <c r="I1244" t="s">
        <v>167</v>
      </c>
      <c r="J1244">
        <v>3.5</v>
      </c>
      <c r="K1244">
        <v>340</v>
      </c>
      <c r="L1244">
        <v>0.2939835164835165</v>
      </c>
      <c r="M1244" t="s">
        <v>18</v>
      </c>
    </row>
    <row r="1245" spans="1:13" x14ac:dyDescent="0.3">
      <c r="A1245" t="s">
        <v>2700</v>
      </c>
      <c r="B1245" t="s">
        <v>2701</v>
      </c>
      <c r="C1245" t="s">
        <v>1219</v>
      </c>
      <c r="D1245" t="s">
        <v>1972</v>
      </c>
      <c r="E1245">
        <v>11990</v>
      </c>
      <c r="F1245">
        <v>6850</v>
      </c>
      <c r="G1245">
        <v>43</v>
      </c>
      <c r="H1245">
        <v>5140</v>
      </c>
      <c r="I1245" t="s">
        <v>55</v>
      </c>
      <c r="J1245">
        <v>3.9</v>
      </c>
      <c r="K1245">
        <v>144</v>
      </c>
      <c r="L1245">
        <v>0.2964492753623188</v>
      </c>
      <c r="M1245" t="s">
        <v>18</v>
      </c>
    </row>
    <row r="1246" spans="1:13" x14ac:dyDescent="0.3">
      <c r="A1246" t="s">
        <v>2702</v>
      </c>
      <c r="B1246" t="s">
        <v>2703</v>
      </c>
      <c r="C1246" t="s">
        <v>1219</v>
      </c>
      <c r="D1246" t="s">
        <v>2010</v>
      </c>
      <c r="E1246">
        <v>3799</v>
      </c>
      <c r="F1246">
        <v>2699</v>
      </c>
      <c r="G1246">
        <v>29</v>
      </c>
      <c r="H1246">
        <v>1100</v>
      </c>
      <c r="I1246" t="s">
        <v>167</v>
      </c>
      <c r="J1246">
        <v>4</v>
      </c>
      <c r="K1246">
        <v>727</v>
      </c>
      <c r="L1246">
        <v>0.1110968660968661</v>
      </c>
      <c r="M1246" t="s">
        <v>18</v>
      </c>
    </row>
    <row r="1247" spans="1:13" x14ac:dyDescent="0.3">
      <c r="A1247" t="s">
        <v>2704</v>
      </c>
      <c r="B1247" t="s">
        <v>2705</v>
      </c>
      <c r="C1247" t="s">
        <v>1219</v>
      </c>
      <c r="D1247" t="s">
        <v>2706</v>
      </c>
      <c r="E1247">
        <v>1999</v>
      </c>
      <c r="F1247">
        <v>899</v>
      </c>
      <c r="G1247">
        <v>55</v>
      </c>
      <c r="H1247">
        <v>1100</v>
      </c>
      <c r="I1247" t="s">
        <v>64</v>
      </c>
      <c r="J1247">
        <v>4</v>
      </c>
      <c r="K1247">
        <v>832</v>
      </c>
      <c r="L1247">
        <v>0.38224109224109221</v>
      </c>
      <c r="M1247" t="s">
        <v>18</v>
      </c>
    </row>
    <row r="1248" spans="1:13" x14ac:dyDescent="0.3">
      <c r="A1248" t="s">
        <v>2707</v>
      </c>
      <c r="B1248" t="s">
        <v>2708</v>
      </c>
      <c r="C1248" t="s">
        <v>1219</v>
      </c>
      <c r="D1248" t="s">
        <v>1972</v>
      </c>
      <c r="E1248">
        <v>2999</v>
      </c>
      <c r="F1248">
        <v>1090</v>
      </c>
      <c r="G1248">
        <v>64</v>
      </c>
      <c r="H1248">
        <v>1909</v>
      </c>
      <c r="I1248" t="s">
        <v>64</v>
      </c>
      <c r="J1248">
        <v>3.5</v>
      </c>
      <c r="K1248">
        <v>57</v>
      </c>
      <c r="L1248">
        <v>0.56571428571428573</v>
      </c>
      <c r="M1248" t="s">
        <v>18</v>
      </c>
    </row>
    <row r="1249" spans="1:13" x14ac:dyDescent="0.3">
      <c r="A1249" t="s">
        <v>2709</v>
      </c>
      <c r="B1249" t="s">
        <v>2710</v>
      </c>
      <c r="C1249" t="s">
        <v>1219</v>
      </c>
      <c r="D1249" t="s">
        <v>1978</v>
      </c>
      <c r="E1249">
        <v>599</v>
      </c>
      <c r="F1249">
        <v>295</v>
      </c>
      <c r="G1249">
        <v>51</v>
      </c>
      <c r="H1249">
        <v>304</v>
      </c>
      <c r="I1249" t="s">
        <v>17</v>
      </c>
      <c r="J1249">
        <v>4</v>
      </c>
      <c r="K1249">
        <v>1644</v>
      </c>
      <c r="L1249">
        <v>0.25555555555555559</v>
      </c>
      <c r="M1249" t="s">
        <v>18</v>
      </c>
    </row>
    <row r="1250" spans="1:13" x14ac:dyDescent="0.3">
      <c r="A1250" t="s">
        <v>2711</v>
      </c>
      <c r="B1250" t="s">
        <v>2712</v>
      </c>
      <c r="C1250" t="s">
        <v>1219</v>
      </c>
      <c r="D1250" t="s">
        <v>2020</v>
      </c>
      <c r="E1250">
        <v>1999</v>
      </c>
      <c r="F1250">
        <v>479</v>
      </c>
      <c r="G1250">
        <v>76</v>
      </c>
      <c r="H1250">
        <v>1520</v>
      </c>
      <c r="I1250" t="s">
        <v>17</v>
      </c>
      <c r="J1250">
        <v>3.4</v>
      </c>
      <c r="K1250">
        <v>1066</v>
      </c>
      <c r="L1250">
        <v>6.2499999999999903E-2</v>
      </c>
      <c r="M1250" t="s">
        <v>103</v>
      </c>
    </row>
    <row r="1251" spans="1:13" x14ac:dyDescent="0.3">
      <c r="A1251" t="s">
        <v>2713</v>
      </c>
      <c r="B1251" t="s">
        <v>2714</v>
      </c>
      <c r="C1251" t="s">
        <v>1219</v>
      </c>
      <c r="D1251" t="s">
        <v>2010</v>
      </c>
      <c r="E1251">
        <v>4849</v>
      </c>
      <c r="F1251">
        <v>2949</v>
      </c>
      <c r="G1251">
        <v>39</v>
      </c>
      <c r="H1251">
        <v>1900</v>
      </c>
      <c r="I1251" t="s">
        <v>167</v>
      </c>
      <c r="J1251">
        <v>4.2</v>
      </c>
      <c r="K1251">
        <v>7968</v>
      </c>
      <c r="L1251">
        <v>0.1784166666666667</v>
      </c>
      <c r="M1251" t="s">
        <v>18</v>
      </c>
    </row>
    <row r="1252" spans="1:13" x14ac:dyDescent="0.3">
      <c r="A1252" t="s">
        <v>2715</v>
      </c>
      <c r="B1252" t="s">
        <v>2716</v>
      </c>
      <c r="C1252" t="s">
        <v>1219</v>
      </c>
      <c r="D1252" t="s">
        <v>2038</v>
      </c>
      <c r="E1252">
        <v>510</v>
      </c>
      <c r="F1252">
        <v>335</v>
      </c>
      <c r="G1252">
        <v>34</v>
      </c>
      <c r="H1252">
        <v>175</v>
      </c>
      <c r="I1252" t="s">
        <v>17</v>
      </c>
      <c r="J1252">
        <v>3.8</v>
      </c>
      <c r="K1252">
        <v>3195</v>
      </c>
      <c r="L1252">
        <v>-0.11249999999999991</v>
      </c>
      <c r="M1252" t="s">
        <v>69</v>
      </c>
    </row>
    <row r="1253" spans="1:13" x14ac:dyDescent="0.3">
      <c r="A1253" t="s">
        <v>2717</v>
      </c>
      <c r="B1253" t="s">
        <v>2718</v>
      </c>
      <c r="C1253" t="s">
        <v>1219</v>
      </c>
      <c r="D1253" t="s">
        <v>2207</v>
      </c>
      <c r="E1253">
        <v>499</v>
      </c>
      <c r="F1253">
        <v>293</v>
      </c>
      <c r="G1253">
        <v>41</v>
      </c>
      <c r="H1253">
        <v>206</v>
      </c>
      <c r="I1253" t="s">
        <v>17</v>
      </c>
      <c r="J1253">
        <v>4.0999999999999996</v>
      </c>
      <c r="K1253">
        <v>1456</v>
      </c>
      <c r="L1253">
        <v>0.18554761904761899</v>
      </c>
      <c r="M1253" t="s">
        <v>18</v>
      </c>
    </row>
    <row r="1254" spans="1:13" x14ac:dyDescent="0.3">
      <c r="A1254" t="s">
        <v>2719</v>
      </c>
      <c r="B1254" t="s">
        <v>2720</v>
      </c>
      <c r="C1254" t="s">
        <v>1219</v>
      </c>
      <c r="D1254" t="s">
        <v>2721</v>
      </c>
      <c r="E1254">
        <v>1299</v>
      </c>
      <c r="F1254">
        <v>599</v>
      </c>
      <c r="G1254">
        <v>54</v>
      </c>
      <c r="H1254">
        <v>700</v>
      </c>
      <c r="I1254" t="s">
        <v>64</v>
      </c>
      <c r="J1254">
        <v>4.2</v>
      </c>
      <c r="K1254">
        <v>590</v>
      </c>
      <c r="L1254">
        <v>0.185703125</v>
      </c>
      <c r="M1254" t="s">
        <v>18</v>
      </c>
    </row>
    <row r="1255" spans="1:13" x14ac:dyDescent="0.3">
      <c r="A1255" t="s">
        <v>2722</v>
      </c>
      <c r="B1255" t="s">
        <v>2723</v>
      </c>
      <c r="C1255" t="s">
        <v>1219</v>
      </c>
      <c r="D1255" t="s">
        <v>2212</v>
      </c>
      <c r="E1255">
        <v>999</v>
      </c>
      <c r="F1255">
        <v>499</v>
      </c>
      <c r="G1255">
        <v>50</v>
      </c>
      <c r="H1255">
        <v>500</v>
      </c>
      <c r="I1255" t="s">
        <v>17</v>
      </c>
      <c r="J1255">
        <v>4.3</v>
      </c>
      <c r="K1255">
        <v>1436</v>
      </c>
      <c r="L1255">
        <v>0.33333333333333331</v>
      </c>
      <c r="M1255" t="s">
        <v>18</v>
      </c>
    </row>
    <row r="1256" spans="1:13" x14ac:dyDescent="0.3">
      <c r="A1256" t="s">
        <v>2724</v>
      </c>
      <c r="B1256" t="s">
        <v>2725</v>
      </c>
      <c r="C1256" t="s">
        <v>1219</v>
      </c>
      <c r="D1256" t="s">
        <v>2004</v>
      </c>
      <c r="E1256">
        <v>1190</v>
      </c>
      <c r="F1256">
        <v>849</v>
      </c>
      <c r="G1256">
        <v>29</v>
      </c>
      <c r="H1256">
        <v>341</v>
      </c>
      <c r="I1256" t="s">
        <v>64</v>
      </c>
      <c r="J1256">
        <v>4.2</v>
      </c>
      <c r="K1256">
        <v>4184</v>
      </c>
      <c r="L1256">
        <v>0.43458333333333332</v>
      </c>
      <c r="M1256" t="s">
        <v>18</v>
      </c>
    </row>
    <row r="1257" spans="1:13" x14ac:dyDescent="0.3">
      <c r="A1257" t="s">
        <v>2726</v>
      </c>
      <c r="B1257" t="s">
        <v>2727</v>
      </c>
      <c r="C1257" t="s">
        <v>1219</v>
      </c>
      <c r="D1257" t="s">
        <v>2207</v>
      </c>
      <c r="E1257">
        <v>400</v>
      </c>
      <c r="F1257">
        <v>249</v>
      </c>
      <c r="G1257">
        <v>38</v>
      </c>
      <c r="H1257">
        <v>151</v>
      </c>
      <c r="I1257" t="s">
        <v>17</v>
      </c>
      <c r="J1257">
        <v>4.0999999999999996</v>
      </c>
      <c r="K1257">
        <v>693</v>
      </c>
      <c r="L1257">
        <v>0.1638568376068375</v>
      </c>
      <c r="M1257" t="s">
        <v>18</v>
      </c>
    </row>
    <row r="1258" spans="1:13" x14ac:dyDescent="0.3">
      <c r="A1258" t="s">
        <v>2728</v>
      </c>
      <c r="B1258" t="s">
        <v>2729</v>
      </c>
      <c r="C1258" t="s">
        <v>1219</v>
      </c>
      <c r="D1258" t="s">
        <v>2212</v>
      </c>
      <c r="E1258">
        <v>599</v>
      </c>
      <c r="F1258">
        <v>185</v>
      </c>
      <c r="G1258">
        <v>69</v>
      </c>
      <c r="H1258">
        <v>414</v>
      </c>
      <c r="I1258" t="s">
        <v>17</v>
      </c>
      <c r="J1258">
        <v>3.9</v>
      </c>
      <c r="K1258">
        <v>1306</v>
      </c>
      <c r="L1258">
        <v>0.22174242424242421</v>
      </c>
      <c r="M1258" t="s">
        <v>18</v>
      </c>
    </row>
    <row r="1259" spans="1:13" x14ac:dyDescent="0.3">
      <c r="A1259" t="s">
        <v>2730</v>
      </c>
      <c r="B1259" t="s">
        <v>2731</v>
      </c>
      <c r="C1259" t="s">
        <v>1219</v>
      </c>
      <c r="D1259" t="s">
        <v>1972</v>
      </c>
      <c r="E1259">
        <v>999</v>
      </c>
      <c r="F1259">
        <v>778</v>
      </c>
      <c r="G1259">
        <v>22</v>
      </c>
      <c r="H1259">
        <v>221</v>
      </c>
      <c r="I1259" t="s">
        <v>64</v>
      </c>
      <c r="J1259">
        <v>3.3</v>
      </c>
      <c r="K1259">
        <v>8</v>
      </c>
      <c r="L1259">
        <v>0.23518518518518519</v>
      </c>
      <c r="M1259" t="s">
        <v>18</v>
      </c>
    </row>
    <row r="1260" spans="1:13" x14ac:dyDescent="0.3">
      <c r="A1260" t="s">
        <v>2732</v>
      </c>
      <c r="B1260" t="s">
        <v>2733</v>
      </c>
      <c r="C1260" t="s">
        <v>1219</v>
      </c>
      <c r="D1260" t="s">
        <v>2734</v>
      </c>
      <c r="E1260">
        <v>699</v>
      </c>
      <c r="F1260">
        <v>279</v>
      </c>
      <c r="G1260">
        <v>60</v>
      </c>
      <c r="H1260">
        <v>420</v>
      </c>
      <c r="I1260" t="s">
        <v>17</v>
      </c>
      <c r="J1260">
        <v>4.3</v>
      </c>
      <c r="K1260">
        <v>2326</v>
      </c>
      <c r="L1260">
        <v>0.43125000000000008</v>
      </c>
      <c r="M1260" t="s">
        <v>18</v>
      </c>
    </row>
    <row r="1261" spans="1:13" x14ac:dyDescent="0.3">
      <c r="A1261" t="s">
        <v>2735</v>
      </c>
      <c r="B1261" t="s">
        <v>2736</v>
      </c>
      <c r="C1261" t="s">
        <v>1219</v>
      </c>
      <c r="D1261" t="s">
        <v>2212</v>
      </c>
      <c r="E1261">
        <v>1499</v>
      </c>
      <c r="F1261">
        <v>215</v>
      </c>
      <c r="G1261">
        <v>86</v>
      </c>
      <c r="H1261">
        <v>1284</v>
      </c>
      <c r="I1261" t="s">
        <v>17</v>
      </c>
      <c r="J1261">
        <v>3.9</v>
      </c>
      <c r="K1261">
        <v>1004</v>
      </c>
      <c r="L1261">
        <v>0.38500000000000001</v>
      </c>
      <c r="M1261" t="s">
        <v>18</v>
      </c>
    </row>
    <row r="1262" spans="1:13" x14ac:dyDescent="0.3">
      <c r="A1262" t="s">
        <v>2737</v>
      </c>
      <c r="B1262" t="s">
        <v>2738</v>
      </c>
      <c r="C1262" t="s">
        <v>1219</v>
      </c>
      <c r="D1262" t="s">
        <v>2004</v>
      </c>
      <c r="E1262">
        <v>1295</v>
      </c>
      <c r="F1262">
        <v>889</v>
      </c>
      <c r="G1262">
        <v>31</v>
      </c>
      <c r="H1262">
        <v>406</v>
      </c>
      <c r="I1262" t="s">
        <v>64</v>
      </c>
      <c r="J1262">
        <v>4.3</v>
      </c>
      <c r="K1262">
        <v>6400</v>
      </c>
      <c r="L1262">
        <v>0.2</v>
      </c>
      <c r="M1262" t="s">
        <v>18</v>
      </c>
    </row>
    <row r="1263" spans="1:13" x14ac:dyDescent="0.3">
      <c r="A1263" t="s">
        <v>2739</v>
      </c>
      <c r="B1263" t="s">
        <v>2740</v>
      </c>
      <c r="C1263" t="s">
        <v>1219</v>
      </c>
      <c r="D1263" t="s">
        <v>2010</v>
      </c>
      <c r="E1263">
        <v>4999</v>
      </c>
      <c r="F1263">
        <v>1449</v>
      </c>
      <c r="G1263">
        <v>71</v>
      </c>
      <c r="H1263">
        <v>3550</v>
      </c>
      <c r="I1263" t="s">
        <v>64</v>
      </c>
      <c r="J1263">
        <v>3.6</v>
      </c>
      <c r="K1263">
        <v>63</v>
      </c>
      <c r="L1263">
        <v>0.21381578947368421</v>
      </c>
      <c r="M1263" t="s">
        <v>18</v>
      </c>
    </row>
    <row r="1264" spans="1:13" x14ac:dyDescent="0.3">
      <c r="A1264" t="s">
        <v>2741</v>
      </c>
      <c r="B1264" t="s">
        <v>2742</v>
      </c>
      <c r="C1264" t="s">
        <v>1219</v>
      </c>
      <c r="D1264" t="s">
        <v>2010</v>
      </c>
      <c r="E1264">
        <v>2550</v>
      </c>
      <c r="F1264">
        <v>1190</v>
      </c>
      <c r="G1264">
        <v>53</v>
      </c>
      <c r="H1264">
        <v>1360</v>
      </c>
      <c r="I1264" t="s">
        <v>64</v>
      </c>
      <c r="J1264">
        <v>3.8</v>
      </c>
      <c r="K1264">
        <v>1181</v>
      </c>
      <c r="L1264">
        <v>0.18166666666666659</v>
      </c>
      <c r="M1264" t="s">
        <v>18</v>
      </c>
    </row>
    <row r="1265" spans="1:13" x14ac:dyDescent="0.3">
      <c r="A1265" t="s">
        <v>2743</v>
      </c>
      <c r="B1265" t="s">
        <v>2744</v>
      </c>
      <c r="C1265" t="s">
        <v>1219</v>
      </c>
      <c r="D1265" t="s">
        <v>2311</v>
      </c>
      <c r="E1265">
        <v>1950</v>
      </c>
      <c r="F1265">
        <v>1799</v>
      </c>
      <c r="G1265">
        <v>8</v>
      </c>
      <c r="H1265">
        <v>151</v>
      </c>
      <c r="I1265" t="s">
        <v>167</v>
      </c>
      <c r="J1265">
        <v>3.9</v>
      </c>
      <c r="K1265">
        <v>1888</v>
      </c>
      <c r="L1265">
        <v>0.33420940170940161</v>
      </c>
      <c r="M1265" t="s">
        <v>18</v>
      </c>
    </row>
    <row r="1266" spans="1:13" x14ac:dyDescent="0.3">
      <c r="A1266" t="s">
        <v>2745</v>
      </c>
      <c r="B1266" t="s">
        <v>2746</v>
      </c>
      <c r="C1266" t="s">
        <v>1219</v>
      </c>
      <c r="D1266" t="s">
        <v>2007</v>
      </c>
      <c r="E1266">
        <v>8478</v>
      </c>
      <c r="F1266">
        <v>6120</v>
      </c>
      <c r="G1266">
        <v>28</v>
      </c>
      <c r="H1266">
        <v>2358</v>
      </c>
      <c r="I1266" t="s">
        <v>55</v>
      </c>
      <c r="J1266">
        <v>4.5999999999999996</v>
      </c>
      <c r="K1266">
        <v>6550</v>
      </c>
      <c r="L1266">
        <v>0.3038541666666667</v>
      </c>
      <c r="M1266" t="s">
        <v>18</v>
      </c>
    </row>
    <row r="1267" spans="1:13" x14ac:dyDescent="0.3">
      <c r="A1267" t="s">
        <v>2747</v>
      </c>
      <c r="B1267" t="s">
        <v>2748</v>
      </c>
      <c r="C1267" t="s">
        <v>1219</v>
      </c>
      <c r="D1267" t="s">
        <v>2007</v>
      </c>
      <c r="E1267">
        <v>3299</v>
      </c>
      <c r="F1267">
        <v>1799</v>
      </c>
      <c r="G1267">
        <v>45</v>
      </c>
      <c r="H1267">
        <v>1500</v>
      </c>
      <c r="I1267" t="s">
        <v>167</v>
      </c>
      <c r="J1267">
        <v>3.8</v>
      </c>
      <c r="K1267">
        <v>1846</v>
      </c>
      <c r="L1267">
        <v>0.1769565217391304</v>
      </c>
      <c r="M1267" t="s">
        <v>18</v>
      </c>
    </row>
    <row r="1268" spans="1:13" x14ac:dyDescent="0.3">
      <c r="A1268" t="s">
        <v>2749</v>
      </c>
      <c r="B1268" t="s">
        <v>2750</v>
      </c>
      <c r="C1268" t="s">
        <v>1219</v>
      </c>
      <c r="D1268" t="s">
        <v>2007</v>
      </c>
      <c r="E1268">
        <v>3895</v>
      </c>
      <c r="F1268">
        <v>2199</v>
      </c>
      <c r="G1268">
        <v>44</v>
      </c>
      <c r="H1268">
        <v>1696</v>
      </c>
      <c r="I1268" t="s">
        <v>167</v>
      </c>
      <c r="J1268">
        <v>3.9</v>
      </c>
      <c r="K1268">
        <v>1085</v>
      </c>
      <c r="L1268">
        <v>0.43571428571428578</v>
      </c>
      <c r="M1268" t="s">
        <v>18</v>
      </c>
    </row>
    <row r="1269" spans="1:13" x14ac:dyDescent="0.3">
      <c r="A1269" t="s">
        <v>2751</v>
      </c>
      <c r="B1269" t="s">
        <v>2752</v>
      </c>
      <c r="C1269" t="s">
        <v>1219</v>
      </c>
      <c r="D1269" t="s">
        <v>2226</v>
      </c>
      <c r="E1269">
        <v>5495</v>
      </c>
      <c r="F1269">
        <v>3685</v>
      </c>
      <c r="G1269">
        <v>33</v>
      </c>
      <c r="H1269">
        <v>1810</v>
      </c>
      <c r="I1269" t="s">
        <v>167</v>
      </c>
      <c r="J1269">
        <v>4.0999999999999996</v>
      </c>
      <c r="K1269">
        <v>290</v>
      </c>
      <c r="L1269">
        <v>0.39448051948051949</v>
      </c>
      <c r="M1269" t="s">
        <v>18</v>
      </c>
    </row>
    <row r="1270" spans="1:13" x14ac:dyDescent="0.3">
      <c r="A1270" t="s">
        <v>2753</v>
      </c>
      <c r="B1270" t="s">
        <v>2754</v>
      </c>
      <c r="C1270" t="s">
        <v>1219</v>
      </c>
      <c r="D1270" t="s">
        <v>2060</v>
      </c>
      <c r="E1270">
        <v>999</v>
      </c>
      <c r="F1270">
        <v>649</v>
      </c>
      <c r="G1270">
        <v>35</v>
      </c>
      <c r="H1270">
        <v>350</v>
      </c>
      <c r="I1270" t="s">
        <v>64</v>
      </c>
      <c r="J1270">
        <v>3.6</v>
      </c>
      <c r="K1270">
        <v>4</v>
      </c>
      <c r="L1270">
        <v>0.36249999999999999</v>
      </c>
      <c r="M1270" t="s">
        <v>18</v>
      </c>
    </row>
    <row r="1271" spans="1:13" x14ac:dyDescent="0.3">
      <c r="A1271" t="s">
        <v>2755</v>
      </c>
      <c r="B1271" t="s">
        <v>2756</v>
      </c>
      <c r="C1271" t="s">
        <v>1219</v>
      </c>
      <c r="D1271" t="s">
        <v>2381</v>
      </c>
      <c r="E1271">
        <v>8995</v>
      </c>
      <c r="F1271">
        <v>8599</v>
      </c>
      <c r="G1271">
        <v>4</v>
      </c>
      <c r="H1271">
        <v>396</v>
      </c>
      <c r="I1271" t="s">
        <v>55</v>
      </c>
      <c r="J1271">
        <v>4.4000000000000004</v>
      </c>
      <c r="K1271">
        <v>9734</v>
      </c>
      <c r="L1271">
        <v>0.3590025252525253</v>
      </c>
      <c r="M1271" t="s">
        <v>18</v>
      </c>
    </row>
    <row r="1272" spans="1:13" x14ac:dyDescent="0.3">
      <c r="A1272" t="s">
        <v>2757</v>
      </c>
      <c r="B1272" t="s">
        <v>2758</v>
      </c>
      <c r="C1272" t="s">
        <v>1219</v>
      </c>
      <c r="D1272" t="s">
        <v>2004</v>
      </c>
      <c r="E1272">
        <v>1599</v>
      </c>
      <c r="F1272">
        <v>1110</v>
      </c>
      <c r="G1272">
        <v>31</v>
      </c>
      <c r="H1272">
        <v>489</v>
      </c>
      <c r="I1272" t="s">
        <v>64</v>
      </c>
      <c r="J1272">
        <v>4.3</v>
      </c>
      <c r="K1272">
        <v>4022</v>
      </c>
      <c r="L1272">
        <v>0.22142857142857139</v>
      </c>
      <c r="M1272" t="s">
        <v>18</v>
      </c>
    </row>
    <row r="1273" spans="1:13" x14ac:dyDescent="0.3">
      <c r="A1273" t="s">
        <v>2759</v>
      </c>
      <c r="B1273" t="s">
        <v>2760</v>
      </c>
      <c r="C1273" t="s">
        <v>1219</v>
      </c>
      <c r="D1273" t="s">
        <v>2010</v>
      </c>
      <c r="E1273">
        <v>3500</v>
      </c>
      <c r="F1273">
        <v>1499</v>
      </c>
      <c r="G1273">
        <v>57</v>
      </c>
      <c r="H1273">
        <v>2001</v>
      </c>
      <c r="I1273" t="s">
        <v>64</v>
      </c>
      <c r="J1273">
        <v>4.7</v>
      </c>
      <c r="K1273">
        <v>2591</v>
      </c>
      <c r="L1273">
        <v>0.16</v>
      </c>
      <c r="M1273" t="s">
        <v>18</v>
      </c>
    </row>
    <row r="1274" spans="1:13" x14ac:dyDescent="0.3">
      <c r="A1274" t="s">
        <v>2761</v>
      </c>
      <c r="B1274" t="s">
        <v>2762</v>
      </c>
      <c r="C1274" t="s">
        <v>1219</v>
      </c>
      <c r="D1274" t="s">
        <v>1978</v>
      </c>
      <c r="E1274">
        <v>1999</v>
      </c>
      <c r="F1274">
        <v>759</v>
      </c>
      <c r="G1274">
        <v>62</v>
      </c>
      <c r="H1274">
        <v>1240</v>
      </c>
      <c r="I1274" t="s">
        <v>64</v>
      </c>
      <c r="J1274">
        <v>4.3</v>
      </c>
      <c r="K1274">
        <v>532</v>
      </c>
      <c r="L1274">
        <v>0.25331890331890339</v>
      </c>
      <c r="M1274" t="s">
        <v>18</v>
      </c>
    </row>
    <row r="1275" spans="1:13" x14ac:dyDescent="0.3">
      <c r="A1275" t="s">
        <v>2763</v>
      </c>
      <c r="B1275" t="s">
        <v>2764</v>
      </c>
      <c r="C1275" t="s">
        <v>1219</v>
      </c>
      <c r="D1275" t="s">
        <v>2067</v>
      </c>
      <c r="E1275">
        <v>3199</v>
      </c>
      <c r="F1275">
        <v>2669</v>
      </c>
      <c r="G1275">
        <v>17</v>
      </c>
      <c r="H1275">
        <v>530</v>
      </c>
      <c r="I1275" t="s">
        <v>167</v>
      </c>
      <c r="J1275">
        <v>3.9</v>
      </c>
      <c r="K1275">
        <v>260</v>
      </c>
      <c r="L1275">
        <v>0.27183217189314751</v>
      </c>
      <c r="M1275" t="s">
        <v>18</v>
      </c>
    </row>
    <row r="1276" spans="1:13" x14ac:dyDescent="0.3">
      <c r="A1276" t="s">
        <v>2765</v>
      </c>
      <c r="B1276" t="s">
        <v>2766</v>
      </c>
      <c r="C1276" t="s">
        <v>1219</v>
      </c>
      <c r="D1276" t="s">
        <v>2087</v>
      </c>
      <c r="E1276">
        <v>1300</v>
      </c>
      <c r="F1276">
        <v>929</v>
      </c>
      <c r="G1276">
        <v>29</v>
      </c>
      <c r="H1276">
        <v>371</v>
      </c>
      <c r="I1276" t="s">
        <v>64</v>
      </c>
      <c r="J1276">
        <v>3.9</v>
      </c>
      <c r="K1276">
        <v>1672</v>
      </c>
      <c r="L1276">
        <v>0.44135714285714289</v>
      </c>
      <c r="M1276" t="s">
        <v>18</v>
      </c>
    </row>
    <row r="1277" spans="1:13" x14ac:dyDescent="0.3">
      <c r="A1277" t="s">
        <v>2767</v>
      </c>
      <c r="B1277" t="s">
        <v>2768</v>
      </c>
      <c r="C1277" t="s">
        <v>1219</v>
      </c>
      <c r="D1277" t="s">
        <v>2048</v>
      </c>
      <c r="E1277">
        <v>399</v>
      </c>
      <c r="F1277">
        <v>199</v>
      </c>
      <c r="G1277">
        <v>50</v>
      </c>
      <c r="H1277">
        <v>200</v>
      </c>
      <c r="I1277" t="s">
        <v>17</v>
      </c>
      <c r="J1277">
        <v>3.7</v>
      </c>
      <c r="K1277">
        <v>7945</v>
      </c>
      <c r="L1277">
        <v>0.11060224089635851</v>
      </c>
      <c r="M1277" t="s">
        <v>18</v>
      </c>
    </row>
    <row r="1278" spans="1:13" x14ac:dyDescent="0.3">
      <c r="A1278" t="s">
        <v>2769</v>
      </c>
      <c r="B1278" t="s">
        <v>2770</v>
      </c>
      <c r="C1278" t="s">
        <v>1219</v>
      </c>
      <c r="D1278" t="s">
        <v>1975</v>
      </c>
      <c r="E1278">
        <v>599</v>
      </c>
      <c r="F1278">
        <v>279</v>
      </c>
      <c r="G1278">
        <v>53</v>
      </c>
      <c r="H1278">
        <v>320</v>
      </c>
      <c r="I1278" t="s">
        <v>17</v>
      </c>
      <c r="J1278">
        <v>3.5</v>
      </c>
      <c r="K1278">
        <v>1367</v>
      </c>
      <c r="L1278">
        <v>3.22619047619047E-2</v>
      </c>
      <c r="M1278" t="s">
        <v>103</v>
      </c>
    </row>
    <row r="1279" spans="1:13" x14ac:dyDescent="0.3">
      <c r="A1279" t="s">
        <v>2771</v>
      </c>
      <c r="B1279" t="s">
        <v>2772</v>
      </c>
      <c r="C1279" t="s">
        <v>1219</v>
      </c>
      <c r="D1279" t="s">
        <v>2001</v>
      </c>
      <c r="E1279">
        <v>999</v>
      </c>
      <c r="F1279">
        <v>549</v>
      </c>
      <c r="G1279">
        <v>45</v>
      </c>
      <c r="H1279">
        <v>450</v>
      </c>
      <c r="I1279" t="s">
        <v>64</v>
      </c>
      <c r="J1279">
        <v>4</v>
      </c>
      <c r="K1279">
        <v>1313</v>
      </c>
      <c r="L1279">
        <v>0.43333333333333329</v>
      </c>
      <c r="M1279" t="s">
        <v>18</v>
      </c>
    </row>
    <row r="1280" spans="1:13" x14ac:dyDescent="0.3">
      <c r="A1280" t="s">
        <v>2773</v>
      </c>
      <c r="B1280" t="s">
        <v>2774</v>
      </c>
      <c r="C1280" t="s">
        <v>1219</v>
      </c>
      <c r="D1280" t="s">
        <v>2360</v>
      </c>
      <c r="E1280">
        <v>199</v>
      </c>
      <c r="F1280">
        <v>85</v>
      </c>
      <c r="G1280">
        <v>57</v>
      </c>
      <c r="H1280">
        <v>114</v>
      </c>
      <c r="I1280" t="s">
        <v>17</v>
      </c>
      <c r="J1280">
        <v>4.0999999999999996</v>
      </c>
      <c r="K1280">
        <v>212</v>
      </c>
      <c r="L1280">
        <v>0.13705882352941171</v>
      </c>
      <c r="M1280" t="s">
        <v>18</v>
      </c>
    </row>
    <row r="1281" spans="1:13" x14ac:dyDescent="0.3">
      <c r="A1281" t="s">
        <v>2775</v>
      </c>
      <c r="B1281" t="s">
        <v>2776</v>
      </c>
      <c r="C1281" t="s">
        <v>1219</v>
      </c>
      <c r="D1281" t="s">
        <v>2060</v>
      </c>
      <c r="E1281">
        <v>1299</v>
      </c>
      <c r="F1281">
        <v>499</v>
      </c>
      <c r="G1281">
        <v>62</v>
      </c>
      <c r="H1281">
        <v>800</v>
      </c>
      <c r="I1281" t="s">
        <v>17</v>
      </c>
      <c r="J1281">
        <v>3.9</v>
      </c>
      <c r="K1281">
        <v>65</v>
      </c>
      <c r="L1281">
        <v>0.4277777777777777</v>
      </c>
      <c r="M1281" t="s">
        <v>18</v>
      </c>
    </row>
    <row r="1282" spans="1:13" x14ac:dyDescent="0.3">
      <c r="A1282" t="s">
        <v>2777</v>
      </c>
      <c r="B1282" t="s">
        <v>2778</v>
      </c>
      <c r="C1282" t="s">
        <v>1219</v>
      </c>
      <c r="D1282" t="s">
        <v>2060</v>
      </c>
      <c r="E1282">
        <v>7776</v>
      </c>
      <c r="F1282">
        <v>5865</v>
      </c>
      <c r="G1282">
        <v>25</v>
      </c>
      <c r="H1282">
        <v>1911</v>
      </c>
      <c r="I1282" t="s">
        <v>55</v>
      </c>
      <c r="J1282">
        <v>4.4000000000000004</v>
      </c>
      <c r="K1282">
        <v>2737</v>
      </c>
      <c r="L1282">
        <v>0.13133680555555549</v>
      </c>
      <c r="M1282" t="s">
        <v>18</v>
      </c>
    </row>
    <row r="1283" spans="1:13" x14ac:dyDescent="0.3">
      <c r="A1283" t="s">
        <v>2779</v>
      </c>
      <c r="B1283" t="s">
        <v>2780</v>
      </c>
      <c r="C1283" t="s">
        <v>1219</v>
      </c>
      <c r="D1283" t="s">
        <v>1966</v>
      </c>
      <c r="E1283">
        <v>2299</v>
      </c>
      <c r="F1283">
        <v>1260</v>
      </c>
      <c r="G1283">
        <v>45</v>
      </c>
      <c r="H1283">
        <v>1039</v>
      </c>
      <c r="I1283" t="s">
        <v>64</v>
      </c>
      <c r="J1283">
        <v>4.3</v>
      </c>
      <c r="K1283">
        <v>55</v>
      </c>
      <c r="L1283">
        <v>0.19011627906976741</v>
      </c>
      <c r="M1283" t="s">
        <v>18</v>
      </c>
    </row>
    <row r="1284" spans="1:13" x14ac:dyDescent="0.3">
      <c r="A1284" t="s">
        <v>2781</v>
      </c>
      <c r="B1284" t="s">
        <v>2782</v>
      </c>
      <c r="C1284" t="s">
        <v>1219</v>
      </c>
      <c r="D1284" t="s">
        <v>2783</v>
      </c>
      <c r="E1284">
        <v>1500</v>
      </c>
      <c r="F1284">
        <v>1099</v>
      </c>
      <c r="G1284">
        <v>27</v>
      </c>
      <c r="H1284">
        <v>401</v>
      </c>
      <c r="I1284" t="s">
        <v>64</v>
      </c>
      <c r="J1284">
        <v>4.5</v>
      </c>
      <c r="K1284">
        <v>1065</v>
      </c>
      <c r="L1284">
        <v>0.222497634423864</v>
      </c>
      <c r="M1284" t="s">
        <v>18</v>
      </c>
    </row>
    <row r="1285" spans="1:13" x14ac:dyDescent="0.3">
      <c r="A1285" t="s">
        <v>2784</v>
      </c>
      <c r="B1285" t="s">
        <v>2785</v>
      </c>
      <c r="C1285" t="s">
        <v>1219</v>
      </c>
      <c r="D1285" t="s">
        <v>2087</v>
      </c>
      <c r="E1285">
        <v>2590</v>
      </c>
      <c r="F1285">
        <v>1928</v>
      </c>
      <c r="G1285">
        <v>26</v>
      </c>
      <c r="H1285">
        <v>662</v>
      </c>
      <c r="I1285" t="s">
        <v>167</v>
      </c>
      <c r="J1285">
        <v>4</v>
      </c>
      <c r="K1285">
        <v>2377</v>
      </c>
      <c r="L1285">
        <v>0.2071552321552321</v>
      </c>
      <c r="M1285" t="s">
        <v>18</v>
      </c>
    </row>
    <row r="1286" spans="1:13" x14ac:dyDescent="0.3">
      <c r="A1286" t="s">
        <v>2786</v>
      </c>
      <c r="B1286" t="s">
        <v>2787</v>
      </c>
      <c r="C1286" t="s">
        <v>1219</v>
      </c>
      <c r="D1286" t="s">
        <v>2023</v>
      </c>
      <c r="E1286">
        <v>6299</v>
      </c>
      <c r="F1286">
        <v>3249</v>
      </c>
      <c r="G1286">
        <v>48</v>
      </c>
      <c r="H1286">
        <v>3050</v>
      </c>
      <c r="I1286" t="s">
        <v>167</v>
      </c>
      <c r="J1286">
        <v>3.9</v>
      </c>
      <c r="K1286">
        <v>2569</v>
      </c>
      <c r="L1286">
        <v>7.7573696145124701E-2</v>
      </c>
      <c r="M1286" t="s">
        <v>103</v>
      </c>
    </row>
    <row r="1287" spans="1:13" x14ac:dyDescent="0.3">
      <c r="A1287" t="s">
        <v>2788</v>
      </c>
      <c r="B1287" t="s">
        <v>2789</v>
      </c>
      <c r="C1287" t="s">
        <v>1219</v>
      </c>
      <c r="D1287" t="s">
        <v>2087</v>
      </c>
      <c r="E1287">
        <v>1795</v>
      </c>
      <c r="F1287">
        <v>1199</v>
      </c>
      <c r="G1287">
        <v>33</v>
      </c>
      <c r="H1287">
        <v>596</v>
      </c>
      <c r="I1287" t="s">
        <v>64</v>
      </c>
      <c r="J1287">
        <v>4.2</v>
      </c>
      <c r="K1287">
        <v>5967</v>
      </c>
      <c r="L1287">
        <v>0.35176068376068381</v>
      </c>
      <c r="M1287" t="s">
        <v>18</v>
      </c>
    </row>
    <row r="1288" spans="1:13" x14ac:dyDescent="0.3">
      <c r="A1288" t="s">
        <v>2790</v>
      </c>
      <c r="B1288" t="s">
        <v>2791</v>
      </c>
      <c r="C1288" t="s">
        <v>1219</v>
      </c>
      <c r="D1288" t="s">
        <v>1966</v>
      </c>
      <c r="E1288">
        <v>3190</v>
      </c>
      <c r="F1288">
        <v>1456</v>
      </c>
      <c r="G1288">
        <v>54</v>
      </c>
      <c r="H1288">
        <v>1734</v>
      </c>
      <c r="I1288" t="s">
        <v>64</v>
      </c>
      <c r="J1288">
        <v>4.0999999999999996</v>
      </c>
      <c r="K1288">
        <v>1776</v>
      </c>
      <c r="L1288">
        <v>0.2860813492063492</v>
      </c>
      <c r="M1288" t="s">
        <v>18</v>
      </c>
    </row>
    <row r="1289" spans="1:13" x14ac:dyDescent="0.3">
      <c r="A1289" t="s">
        <v>2792</v>
      </c>
      <c r="B1289" t="s">
        <v>2793</v>
      </c>
      <c r="C1289" t="s">
        <v>1219</v>
      </c>
      <c r="D1289" t="s">
        <v>2060</v>
      </c>
      <c r="E1289">
        <v>4799</v>
      </c>
      <c r="F1289">
        <v>3349</v>
      </c>
      <c r="G1289">
        <v>30</v>
      </c>
      <c r="H1289">
        <v>1450</v>
      </c>
      <c r="I1289" t="s">
        <v>167</v>
      </c>
      <c r="J1289">
        <v>3.7</v>
      </c>
      <c r="K1289">
        <v>4200</v>
      </c>
      <c r="L1289">
        <v>0.31166666666666659</v>
      </c>
      <c r="M1289" t="s">
        <v>18</v>
      </c>
    </row>
    <row r="1290" spans="1:13" x14ac:dyDescent="0.3">
      <c r="A1290" t="s">
        <v>2794</v>
      </c>
      <c r="B1290" t="s">
        <v>2795</v>
      </c>
      <c r="C1290" t="s">
        <v>1219</v>
      </c>
      <c r="D1290" t="s">
        <v>2157</v>
      </c>
      <c r="E1290">
        <v>8999</v>
      </c>
      <c r="F1290">
        <v>4899</v>
      </c>
      <c r="G1290">
        <v>46</v>
      </c>
      <c r="H1290">
        <v>4100</v>
      </c>
      <c r="I1290" t="s">
        <v>167</v>
      </c>
      <c r="J1290">
        <v>4.0999999999999996</v>
      </c>
      <c r="K1290">
        <v>297</v>
      </c>
      <c r="L1290">
        <v>9.5434782608695604E-2</v>
      </c>
      <c r="M1290" t="s">
        <v>103</v>
      </c>
    </row>
    <row r="1291" spans="1:13" x14ac:dyDescent="0.3">
      <c r="A1291" t="s">
        <v>2796</v>
      </c>
      <c r="B1291" t="s">
        <v>2797</v>
      </c>
      <c r="C1291" t="s">
        <v>1219</v>
      </c>
      <c r="D1291" t="s">
        <v>2020</v>
      </c>
      <c r="E1291">
        <v>1899</v>
      </c>
      <c r="F1291">
        <v>1199</v>
      </c>
      <c r="G1291">
        <v>37</v>
      </c>
      <c r="H1291">
        <v>700</v>
      </c>
      <c r="I1291" t="s">
        <v>64</v>
      </c>
      <c r="J1291">
        <v>4.2</v>
      </c>
      <c r="K1291">
        <v>3858</v>
      </c>
      <c r="L1291">
        <v>0.10242424242424231</v>
      </c>
      <c r="M1291" t="s">
        <v>18</v>
      </c>
    </row>
    <row r="1292" spans="1:13" x14ac:dyDescent="0.3">
      <c r="A1292" t="s">
        <v>2798</v>
      </c>
      <c r="B1292" t="s">
        <v>2799</v>
      </c>
      <c r="C1292" t="s">
        <v>1219</v>
      </c>
      <c r="D1292" t="s">
        <v>2525</v>
      </c>
      <c r="E1292">
        <v>5799</v>
      </c>
      <c r="F1292">
        <v>3290</v>
      </c>
      <c r="G1292">
        <v>43</v>
      </c>
      <c r="H1292">
        <v>2509</v>
      </c>
      <c r="I1292" t="s">
        <v>167</v>
      </c>
      <c r="J1292">
        <v>4.3</v>
      </c>
      <c r="K1292">
        <v>168</v>
      </c>
      <c r="L1292">
        <v>0.30210069444444448</v>
      </c>
      <c r="M1292" t="s">
        <v>18</v>
      </c>
    </row>
    <row r="1293" spans="1:13" x14ac:dyDescent="0.3">
      <c r="A1293" t="s">
        <v>2800</v>
      </c>
      <c r="B1293" t="s">
        <v>2801</v>
      </c>
      <c r="C1293" t="s">
        <v>1219</v>
      </c>
      <c r="D1293" t="s">
        <v>1975</v>
      </c>
      <c r="E1293">
        <v>799</v>
      </c>
      <c r="F1293">
        <v>179</v>
      </c>
      <c r="G1293">
        <v>78</v>
      </c>
      <c r="H1293">
        <v>620</v>
      </c>
      <c r="I1293" t="s">
        <v>17</v>
      </c>
      <c r="J1293">
        <v>3.6</v>
      </c>
      <c r="K1293">
        <v>101</v>
      </c>
      <c r="L1293">
        <v>0.1853846153846154</v>
      </c>
      <c r="M1293" t="s">
        <v>18</v>
      </c>
    </row>
    <row r="1294" spans="1:13" x14ac:dyDescent="0.3">
      <c r="A1294" t="s">
        <v>2802</v>
      </c>
      <c r="B1294" t="s">
        <v>2803</v>
      </c>
      <c r="C1294" t="s">
        <v>1219</v>
      </c>
      <c r="D1294" t="s">
        <v>2734</v>
      </c>
      <c r="E1294">
        <v>300</v>
      </c>
      <c r="F1294">
        <v>149</v>
      </c>
      <c r="G1294">
        <v>50</v>
      </c>
      <c r="H1294">
        <v>151</v>
      </c>
      <c r="I1294" t="s">
        <v>17</v>
      </c>
      <c r="J1294">
        <v>4.0999999999999996</v>
      </c>
      <c r="K1294">
        <v>4074</v>
      </c>
      <c r="L1294">
        <v>0.26568181818181819</v>
      </c>
      <c r="M1294" t="s">
        <v>18</v>
      </c>
    </row>
    <row r="1295" spans="1:13" x14ac:dyDescent="0.3">
      <c r="A1295" t="s">
        <v>2804</v>
      </c>
      <c r="B1295" t="s">
        <v>2805</v>
      </c>
      <c r="C1295" t="s">
        <v>1219</v>
      </c>
      <c r="D1295" t="s">
        <v>2007</v>
      </c>
      <c r="E1295">
        <v>7200</v>
      </c>
      <c r="F1295">
        <v>5490</v>
      </c>
      <c r="G1295">
        <v>24</v>
      </c>
      <c r="H1295">
        <v>1710</v>
      </c>
      <c r="I1295" t="s">
        <v>55</v>
      </c>
      <c r="J1295">
        <v>4.5</v>
      </c>
      <c r="K1295">
        <v>1408</v>
      </c>
      <c r="L1295">
        <v>0.41590909090909089</v>
      </c>
      <c r="M1295" t="s">
        <v>18</v>
      </c>
    </row>
    <row r="1296" spans="1:13" x14ac:dyDescent="0.3">
      <c r="A1296" t="s">
        <v>2806</v>
      </c>
      <c r="B1296" t="s">
        <v>2807</v>
      </c>
      <c r="C1296" t="s">
        <v>1219</v>
      </c>
      <c r="D1296" t="s">
        <v>1978</v>
      </c>
      <c r="E1296">
        <v>389</v>
      </c>
      <c r="F1296">
        <v>379</v>
      </c>
      <c r="G1296">
        <v>3</v>
      </c>
      <c r="H1296">
        <v>10</v>
      </c>
      <c r="I1296" t="s">
        <v>17</v>
      </c>
      <c r="J1296">
        <v>4.2</v>
      </c>
      <c r="K1296">
        <v>3739</v>
      </c>
      <c r="L1296">
        <v>0.42437179487179488</v>
      </c>
      <c r="M1296" t="s">
        <v>18</v>
      </c>
    </row>
    <row r="1297" spans="1:13" x14ac:dyDescent="0.3">
      <c r="A1297" t="s">
        <v>2808</v>
      </c>
      <c r="B1297" t="s">
        <v>2809</v>
      </c>
      <c r="C1297" t="s">
        <v>1219</v>
      </c>
      <c r="D1297" t="s">
        <v>2311</v>
      </c>
      <c r="E1297">
        <v>13049</v>
      </c>
      <c r="F1297">
        <v>8699</v>
      </c>
      <c r="G1297">
        <v>33</v>
      </c>
      <c r="H1297">
        <v>4350</v>
      </c>
      <c r="I1297" t="s">
        <v>55</v>
      </c>
      <c r="J1297">
        <v>4.3</v>
      </c>
      <c r="K1297">
        <v>5891</v>
      </c>
      <c r="L1297">
        <v>0.58666666666666667</v>
      </c>
      <c r="M1297" t="s">
        <v>18</v>
      </c>
    </row>
    <row r="1298" spans="1:13" x14ac:dyDescent="0.3">
      <c r="A1298" t="s">
        <v>2810</v>
      </c>
      <c r="B1298" t="s">
        <v>2811</v>
      </c>
      <c r="C1298" t="s">
        <v>1219</v>
      </c>
      <c r="D1298" t="s">
        <v>2007</v>
      </c>
      <c r="E1298">
        <v>5999</v>
      </c>
      <c r="F1298">
        <v>3041.67</v>
      </c>
      <c r="G1298">
        <v>49</v>
      </c>
      <c r="H1298">
        <v>2957.33</v>
      </c>
      <c r="I1298" t="s">
        <v>167</v>
      </c>
      <c r="J1298">
        <v>4</v>
      </c>
      <c r="K1298">
        <v>777</v>
      </c>
      <c r="L1298">
        <v>0.36441176470588238</v>
      </c>
      <c r="M1298" t="s">
        <v>18</v>
      </c>
    </row>
    <row r="1299" spans="1:13" x14ac:dyDescent="0.3">
      <c r="A1299" t="s">
        <v>2812</v>
      </c>
      <c r="B1299" t="s">
        <v>2813</v>
      </c>
      <c r="C1299" t="s">
        <v>1219</v>
      </c>
      <c r="D1299" t="s">
        <v>2001</v>
      </c>
      <c r="E1299">
        <v>2400</v>
      </c>
      <c r="F1299">
        <v>1745</v>
      </c>
      <c r="G1299">
        <v>27</v>
      </c>
      <c r="H1299">
        <v>655</v>
      </c>
      <c r="I1299" t="s">
        <v>167</v>
      </c>
      <c r="J1299">
        <v>4.2</v>
      </c>
      <c r="K1299">
        <v>14160</v>
      </c>
      <c r="L1299">
        <v>0.28526315789473677</v>
      </c>
      <c r="M1299" t="s">
        <v>18</v>
      </c>
    </row>
    <row r="1300" spans="1:13" x14ac:dyDescent="0.3">
      <c r="A1300" t="s">
        <v>2814</v>
      </c>
      <c r="B1300" t="s">
        <v>2815</v>
      </c>
      <c r="C1300" t="s">
        <v>1219</v>
      </c>
      <c r="D1300" t="s">
        <v>1992</v>
      </c>
      <c r="E1300">
        <v>5295</v>
      </c>
      <c r="F1300">
        <v>3180</v>
      </c>
      <c r="G1300">
        <v>40</v>
      </c>
      <c r="H1300">
        <v>2115</v>
      </c>
      <c r="I1300" t="s">
        <v>167</v>
      </c>
      <c r="J1300">
        <v>4.2</v>
      </c>
      <c r="K1300">
        <v>6919</v>
      </c>
      <c r="L1300">
        <v>0.35702380952380952</v>
      </c>
      <c r="M1300" t="s">
        <v>18</v>
      </c>
    </row>
    <row r="1301" spans="1:13" x14ac:dyDescent="0.3">
      <c r="A1301" t="s">
        <v>2816</v>
      </c>
      <c r="B1301" t="s">
        <v>2817</v>
      </c>
      <c r="C1301" t="s">
        <v>1219</v>
      </c>
      <c r="D1301" t="s">
        <v>2311</v>
      </c>
      <c r="E1301">
        <v>24999</v>
      </c>
      <c r="F1301">
        <v>4999</v>
      </c>
      <c r="G1301">
        <v>80</v>
      </c>
      <c r="H1301">
        <v>20000</v>
      </c>
      <c r="I1301" t="s">
        <v>167</v>
      </c>
      <c r="J1301">
        <v>4.5</v>
      </c>
      <c r="K1301">
        <v>287</v>
      </c>
      <c r="L1301">
        <v>4.2424242424242399E-2</v>
      </c>
      <c r="M1301" t="s">
        <v>103</v>
      </c>
    </row>
    <row r="1302" spans="1:13" x14ac:dyDescent="0.3">
      <c r="A1302" t="s">
        <v>2818</v>
      </c>
      <c r="B1302" t="s">
        <v>2819</v>
      </c>
      <c r="C1302" t="s">
        <v>1219</v>
      </c>
      <c r="D1302" t="s">
        <v>2048</v>
      </c>
      <c r="E1302">
        <v>799</v>
      </c>
      <c r="F1302">
        <v>390</v>
      </c>
      <c r="G1302">
        <v>51</v>
      </c>
      <c r="H1302">
        <v>409</v>
      </c>
      <c r="I1302" t="s">
        <v>17</v>
      </c>
      <c r="J1302">
        <v>3.8</v>
      </c>
      <c r="K1302">
        <v>287</v>
      </c>
      <c r="L1302">
        <v>0.16547619047619039</v>
      </c>
      <c r="M1302" t="s">
        <v>18</v>
      </c>
    </row>
    <row r="1303" spans="1:13" x14ac:dyDescent="0.3">
      <c r="A1303" t="s">
        <v>2820</v>
      </c>
      <c r="B1303" t="s">
        <v>2821</v>
      </c>
      <c r="C1303" t="s">
        <v>1219</v>
      </c>
      <c r="D1303" t="s">
        <v>2822</v>
      </c>
      <c r="E1303">
        <v>2999</v>
      </c>
      <c r="F1303">
        <v>1999</v>
      </c>
      <c r="G1303">
        <v>33</v>
      </c>
      <c r="H1303">
        <v>1000</v>
      </c>
      <c r="I1303" t="s">
        <v>167</v>
      </c>
      <c r="J1303">
        <v>4.4000000000000004</v>
      </c>
      <c r="K1303">
        <v>388</v>
      </c>
      <c r="L1303">
        <v>0.27035256410256409</v>
      </c>
      <c r="M1303" t="s">
        <v>18</v>
      </c>
    </row>
    <row r="1304" spans="1:13" x14ac:dyDescent="0.3">
      <c r="A1304" t="s">
        <v>2823</v>
      </c>
      <c r="B1304" t="s">
        <v>2824</v>
      </c>
      <c r="C1304" t="s">
        <v>1219</v>
      </c>
      <c r="D1304" t="s">
        <v>2080</v>
      </c>
      <c r="E1304">
        <v>2495</v>
      </c>
      <c r="F1304">
        <v>1624</v>
      </c>
      <c r="G1304">
        <v>35</v>
      </c>
      <c r="H1304">
        <v>871</v>
      </c>
      <c r="I1304" t="s">
        <v>167</v>
      </c>
      <c r="J1304">
        <v>4.0999999999999996</v>
      </c>
      <c r="K1304">
        <v>827</v>
      </c>
      <c r="L1304">
        <v>0.19087752525252519</v>
      </c>
      <c r="M1304" t="s">
        <v>18</v>
      </c>
    </row>
    <row r="1305" spans="1:13" x14ac:dyDescent="0.3">
      <c r="A1305" t="s">
        <v>2825</v>
      </c>
      <c r="B1305" t="s">
        <v>2826</v>
      </c>
      <c r="C1305" t="s">
        <v>1219</v>
      </c>
      <c r="D1305" t="s">
        <v>2734</v>
      </c>
      <c r="E1305">
        <v>450</v>
      </c>
      <c r="F1305">
        <v>184</v>
      </c>
      <c r="G1305">
        <v>59</v>
      </c>
      <c r="H1305">
        <v>266</v>
      </c>
      <c r="I1305" t="s">
        <v>17</v>
      </c>
      <c r="J1305">
        <v>4.2</v>
      </c>
      <c r="K1305">
        <v>4971</v>
      </c>
      <c r="L1305">
        <v>0.1974999999999999</v>
      </c>
      <c r="M1305" t="s">
        <v>18</v>
      </c>
    </row>
    <row r="1306" spans="1:13" x14ac:dyDescent="0.3">
      <c r="A1306" t="s">
        <v>2827</v>
      </c>
      <c r="B1306" t="s">
        <v>2828</v>
      </c>
      <c r="C1306" t="s">
        <v>1219</v>
      </c>
      <c r="D1306" t="s">
        <v>1975</v>
      </c>
      <c r="E1306">
        <v>999</v>
      </c>
      <c r="F1306">
        <v>445</v>
      </c>
      <c r="G1306">
        <v>55</v>
      </c>
      <c r="H1306">
        <v>554</v>
      </c>
      <c r="I1306" t="s">
        <v>17</v>
      </c>
      <c r="J1306">
        <v>4.3</v>
      </c>
      <c r="K1306">
        <v>229</v>
      </c>
      <c r="L1306">
        <v>0.48000000000000009</v>
      </c>
      <c r="M1306" t="s">
        <v>18</v>
      </c>
    </row>
    <row r="1307" spans="1:13" x14ac:dyDescent="0.3">
      <c r="A1307" t="s">
        <v>2829</v>
      </c>
      <c r="B1307" t="s">
        <v>2830</v>
      </c>
      <c r="C1307" t="s">
        <v>1219</v>
      </c>
      <c r="D1307" t="s">
        <v>2831</v>
      </c>
      <c r="E1307">
        <v>1690</v>
      </c>
      <c r="F1307">
        <v>699</v>
      </c>
      <c r="G1307">
        <v>59</v>
      </c>
      <c r="H1307">
        <v>991</v>
      </c>
      <c r="I1307" t="s">
        <v>64</v>
      </c>
      <c r="J1307">
        <v>4.0999999999999996</v>
      </c>
      <c r="K1307">
        <v>3524</v>
      </c>
      <c r="L1307">
        <v>0.31000000000000011</v>
      </c>
      <c r="M1307" t="s">
        <v>18</v>
      </c>
    </row>
    <row r="1308" spans="1:13" x14ac:dyDescent="0.3">
      <c r="A1308" t="s">
        <v>2832</v>
      </c>
      <c r="B1308" t="s">
        <v>2833</v>
      </c>
      <c r="C1308" t="s">
        <v>1219</v>
      </c>
      <c r="D1308" t="s">
        <v>1992</v>
      </c>
      <c r="E1308">
        <v>3890</v>
      </c>
      <c r="F1308">
        <v>1601</v>
      </c>
      <c r="G1308">
        <v>59</v>
      </c>
      <c r="H1308">
        <v>2289</v>
      </c>
      <c r="I1308" t="s">
        <v>167</v>
      </c>
      <c r="J1308">
        <v>4.2</v>
      </c>
      <c r="K1308">
        <v>156</v>
      </c>
      <c r="L1308">
        <v>0.37034632034632031</v>
      </c>
      <c r="M1308" t="s">
        <v>18</v>
      </c>
    </row>
    <row r="1309" spans="1:13" x14ac:dyDescent="0.3">
      <c r="A1309" t="s">
        <v>2834</v>
      </c>
      <c r="B1309" t="s">
        <v>2835</v>
      </c>
      <c r="C1309" t="s">
        <v>1219</v>
      </c>
      <c r="D1309" t="s">
        <v>2212</v>
      </c>
      <c r="E1309">
        <v>260</v>
      </c>
      <c r="F1309">
        <v>231</v>
      </c>
      <c r="G1309">
        <v>11</v>
      </c>
      <c r="H1309">
        <v>29</v>
      </c>
      <c r="I1309" t="s">
        <v>17</v>
      </c>
      <c r="J1309">
        <v>4.0999999999999996</v>
      </c>
      <c r="K1309">
        <v>490</v>
      </c>
      <c r="L1309">
        <v>0.4</v>
      </c>
      <c r="M1309" t="s">
        <v>18</v>
      </c>
    </row>
    <row r="1310" spans="1:13" x14ac:dyDescent="0.3">
      <c r="A1310" t="s">
        <v>2836</v>
      </c>
      <c r="B1310" t="s">
        <v>2837</v>
      </c>
      <c r="C1310" t="s">
        <v>1219</v>
      </c>
      <c r="D1310" t="s">
        <v>1975</v>
      </c>
      <c r="E1310">
        <v>599</v>
      </c>
      <c r="F1310">
        <v>369</v>
      </c>
      <c r="G1310">
        <v>38</v>
      </c>
      <c r="H1310">
        <v>230</v>
      </c>
      <c r="I1310" t="s">
        <v>17</v>
      </c>
      <c r="J1310">
        <v>3.9</v>
      </c>
      <c r="K1310">
        <v>82</v>
      </c>
      <c r="L1310">
        <v>0.17666666666666661</v>
      </c>
      <c r="M1310" t="s">
        <v>18</v>
      </c>
    </row>
    <row r="1311" spans="1:13" x14ac:dyDescent="0.3">
      <c r="A1311" t="s">
        <v>2838</v>
      </c>
      <c r="B1311" t="s">
        <v>2839</v>
      </c>
      <c r="C1311" t="s">
        <v>1219</v>
      </c>
      <c r="D1311" t="s">
        <v>1966</v>
      </c>
      <c r="E1311">
        <v>1950</v>
      </c>
      <c r="F1311">
        <v>809</v>
      </c>
      <c r="G1311">
        <v>59</v>
      </c>
      <c r="H1311">
        <v>1141</v>
      </c>
      <c r="I1311" t="s">
        <v>64</v>
      </c>
      <c r="J1311">
        <v>3.9</v>
      </c>
      <c r="K1311">
        <v>710</v>
      </c>
      <c r="L1311">
        <v>0.2574999999999999</v>
      </c>
      <c r="M1311" t="s">
        <v>18</v>
      </c>
    </row>
    <row r="1312" spans="1:13" x14ac:dyDescent="0.3">
      <c r="A1312" t="s">
        <v>2840</v>
      </c>
      <c r="B1312" t="s">
        <v>2841</v>
      </c>
      <c r="C1312" t="s">
        <v>1219</v>
      </c>
      <c r="D1312" t="s">
        <v>2007</v>
      </c>
      <c r="E1312">
        <v>2990</v>
      </c>
      <c r="F1312">
        <v>1199</v>
      </c>
      <c r="G1312">
        <v>60</v>
      </c>
      <c r="H1312">
        <v>1791</v>
      </c>
      <c r="I1312" t="s">
        <v>64</v>
      </c>
      <c r="J1312">
        <v>3.8</v>
      </c>
      <c r="K1312">
        <v>133</v>
      </c>
      <c r="L1312">
        <v>0.34666666666666668</v>
      </c>
      <c r="M1312" t="s">
        <v>18</v>
      </c>
    </row>
    <row r="1313" spans="1:13" x14ac:dyDescent="0.3">
      <c r="A1313" t="s">
        <v>2842</v>
      </c>
      <c r="B1313" t="s">
        <v>2843</v>
      </c>
      <c r="C1313" t="s">
        <v>1219</v>
      </c>
      <c r="D1313" t="s">
        <v>2007</v>
      </c>
      <c r="E1313">
        <v>8073</v>
      </c>
      <c r="F1313">
        <v>6120</v>
      </c>
      <c r="G1313">
        <v>24</v>
      </c>
      <c r="H1313">
        <v>1953</v>
      </c>
      <c r="I1313" t="s">
        <v>55</v>
      </c>
      <c r="J1313">
        <v>4.5999999999999996</v>
      </c>
      <c r="K1313">
        <v>2751</v>
      </c>
      <c r="L1313">
        <v>0.16856060606060599</v>
      </c>
      <c r="M1313" t="s">
        <v>18</v>
      </c>
    </row>
    <row r="1314" spans="1:13" x14ac:dyDescent="0.3">
      <c r="A1314" t="s">
        <v>2844</v>
      </c>
      <c r="B1314" t="s">
        <v>2845</v>
      </c>
      <c r="C1314" t="s">
        <v>1219</v>
      </c>
      <c r="D1314" t="s">
        <v>2051</v>
      </c>
      <c r="E1314">
        <v>2599</v>
      </c>
      <c r="F1314">
        <v>1799</v>
      </c>
      <c r="G1314">
        <v>31</v>
      </c>
      <c r="H1314">
        <v>800</v>
      </c>
      <c r="I1314" t="s">
        <v>167</v>
      </c>
      <c r="J1314">
        <v>3.6</v>
      </c>
      <c r="K1314">
        <v>771</v>
      </c>
      <c r="L1314">
        <v>1.25461344211344E-2</v>
      </c>
      <c r="M1314" t="s">
        <v>103</v>
      </c>
    </row>
    <row r="1315" spans="1:13" x14ac:dyDescent="0.3">
      <c r="A1315" t="s">
        <v>2846</v>
      </c>
      <c r="B1315" t="s">
        <v>2847</v>
      </c>
      <c r="C1315" t="s">
        <v>1219</v>
      </c>
      <c r="D1315" t="s">
        <v>2589</v>
      </c>
      <c r="E1315">
        <v>29999</v>
      </c>
      <c r="F1315">
        <v>18999</v>
      </c>
      <c r="G1315">
        <v>37</v>
      </c>
      <c r="H1315">
        <v>11000</v>
      </c>
      <c r="I1315" t="s">
        <v>55</v>
      </c>
      <c r="J1315">
        <v>4.0999999999999996</v>
      </c>
      <c r="K1315">
        <v>2536</v>
      </c>
      <c r="L1315">
        <v>6.2583239224543494E-2</v>
      </c>
      <c r="M1315" t="s">
        <v>103</v>
      </c>
    </row>
    <row r="1316" spans="1:13" x14ac:dyDescent="0.3">
      <c r="A1316" t="s">
        <v>2848</v>
      </c>
      <c r="B1316" t="s">
        <v>2849</v>
      </c>
      <c r="C1316" t="s">
        <v>1219</v>
      </c>
      <c r="D1316" t="s">
        <v>2202</v>
      </c>
      <c r="E1316">
        <v>2360</v>
      </c>
      <c r="F1316">
        <v>1999</v>
      </c>
      <c r="G1316">
        <v>15</v>
      </c>
      <c r="H1316">
        <v>361</v>
      </c>
      <c r="I1316" t="s">
        <v>167</v>
      </c>
      <c r="J1316">
        <v>4.2</v>
      </c>
      <c r="K1316">
        <v>7801</v>
      </c>
      <c r="L1316">
        <v>2.2222222222222199E-2</v>
      </c>
      <c r="M1316" t="s">
        <v>103</v>
      </c>
    </row>
    <row r="1317" spans="1:13" x14ac:dyDescent="0.3">
      <c r="A1317" t="s">
        <v>2850</v>
      </c>
      <c r="B1317" t="s">
        <v>2851</v>
      </c>
      <c r="C1317" t="s">
        <v>1219</v>
      </c>
      <c r="D1317" t="s">
        <v>2852</v>
      </c>
      <c r="E1317">
        <v>11495</v>
      </c>
      <c r="F1317">
        <v>5999</v>
      </c>
      <c r="G1317">
        <v>48</v>
      </c>
      <c r="H1317">
        <v>5496</v>
      </c>
      <c r="I1317" t="s">
        <v>55</v>
      </c>
      <c r="J1317">
        <v>4.3</v>
      </c>
      <c r="K1317">
        <v>534</v>
      </c>
      <c r="L1317">
        <v>0.37559523809523798</v>
      </c>
      <c r="M1317" t="s">
        <v>18</v>
      </c>
    </row>
    <row r="1318" spans="1:13" x14ac:dyDescent="0.3">
      <c r="A1318" t="s">
        <v>2853</v>
      </c>
      <c r="B1318" t="s">
        <v>2854</v>
      </c>
      <c r="C1318" t="s">
        <v>1219</v>
      </c>
      <c r="D1318" t="s">
        <v>2137</v>
      </c>
      <c r="E1318">
        <v>4780</v>
      </c>
      <c r="F1318">
        <v>2599</v>
      </c>
      <c r="G1318">
        <v>46</v>
      </c>
      <c r="H1318">
        <v>2181</v>
      </c>
      <c r="I1318" t="s">
        <v>167</v>
      </c>
      <c r="J1318">
        <v>3.9</v>
      </c>
      <c r="K1318">
        <v>898</v>
      </c>
      <c r="L1318">
        <v>0.3833333333333333</v>
      </c>
      <c r="M1318" t="s">
        <v>18</v>
      </c>
    </row>
    <row r="1319" spans="1:13" x14ac:dyDescent="0.3">
      <c r="A1319" t="s">
        <v>2855</v>
      </c>
      <c r="B1319" t="s">
        <v>2856</v>
      </c>
      <c r="C1319" t="s">
        <v>1219</v>
      </c>
      <c r="D1319" t="s">
        <v>2706</v>
      </c>
      <c r="E1319">
        <v>2400</v>
      </c>
      <c r="F1319">
        <v>1199</v>
      </c>
      <c r="G1319">
        <v>50</v>
      </c>
      <c r="H1319">
        <v>1201</v>
      </c>
      <c r="I1319" t="s">
        <v>64</v>
      </c>
      <c r="J1319">
        <v>3.9</v>
      </c>
      <c r="K1319">
        <v>1202</v>
      </c>
      <c r="L1319">
        <v>0.27273809523809528</v>
      </c>
      <c r="M1319" t="s">
        <v>18</v>
      </c>
    </row>
    <row r="1320" spans="1:13" x14ac:dyDescent="0.3">
      <c r="A1320" t="s">
        <v>2857</v>
      </c>
      <c r="B1320" t="s">
        <v>2858</v>
      </c>
      <c r="C1320" t="s">
        <v>1219</v>
      </c>
      <c r="D1320" t="s">
        <v>2048</v>
      </c>
      <c r="E1320">
        <v>249</v>
      </c>
      <c r="F1320">
        <v>219</v>
      </c>
      <c r="G1320">
        <v>12</v>
      </c>
      <c r="H1320">
        <v>30</v>
      </c>
      <c r="I1320" t="s">
        <v>17</v>
      </c>
      <c r="J1320">
        <v>4</v>
      </c>
      <c r="K1320">
        <v>1108</v>
      </c>
      <c r="L1320">
        <v>0.32916666666666661</v>
      </c>
      <c r="M1320" t="s">
        <v>18</v>
      </c>
    </row>
    <row r="1321" spans="1:13" x14ac:dyDescent="0.3">
      <c r="A1321" t="s">
        <v>2859</v>
      </c>
      <c r="B1321" t="s">
        <v>2860</v>
      </c>
      <c r="C1321" t="s">
        <v>1219</v>
      </c>
      <c r="D1321" t="s">
        <v>1972</v>
      </c>
      <c r="E1321">
        <v>1199</v>
      </c>
      <c r="F1321">
        <v>799</v>
      </c>
      <c r="G1321">
        <v>33</v>
      </c>
      <c r="H1321">
        <v>400</v>
      </c>
      <c r="I1321" t="s">
        <v>64</v>
      </c>
      <c r="J1321">
        <v>4.4000000000000004</v>
      </c>
      <c r="K1321">
        <v>17</v>
      </c>
      <c r="L1321">
        <v>0.35434173669467789</v>
      </c>
      <c r="M1321" t="s">
        <v>18</v>
      </c>
    </row>
    <row r="1322" spans="1:13" x14ac:dyDescent="0.3">
      <c r="A1322" t="s">
        <v>2861</v>
      </c>
      <c r="B1322" t="s">
        <v>2862</v>
      </c>
      <c r="C1322" t="s">
        <v>1219</v>
      </c>
      <c r="D1322" t="s">
        <v>2279</v>
      </c>
      <c r="E1322">
        <v>10999</v>
      </c>
      <c r="F1322">
        <v>6199</v>
      </c>
      <c r="G1322">
        <v>44</v>
      </c>
      <c r="H1322">
        <v>4800</v>
      </c>
      <c r="I1322" t="s">
        <v>55</v>
      </c>
      <c r="J1322">
        <v>4.2</v>
      </c>
      <c r="K1322">
        <v>10429</v>
      </c>
      <c r="L1322">
        <v>0.30959770114942531</v>
      </c>
      <c r="M1322" t="s">
        <v>18</v>
      </c>
    </row>
    <row r="1323" spans="1:13" x14ac:dyDescent="0.3">
      <c r="A1323" t="s">
        <v>2863</v>
      </c>
      <c r="B1323" t="s">
        <v>2864</v>
      </c>
      <c r="C1323" t="s">
        <v>1219</v>
      </c>
      <c r="D1323" t="s">
        <v>2045</v>
      </c>
      <c r="E1323">
        <v>10995</v>
      </c>
      <c r="F1323">
        <v>6790</v>
      </c>
      <c r="G1323">
        <v>38</v>
      </c>
      <c r="H1323">
        <v>4205</v>
      </c>
      <c r="I1323" t="s">
        <v>55</v>
      </c>
      <c r="J1323">
        <v>4.5</v>
      </c>
      <c r="K1323">
        <v>3192</v>
      </c>
      <c r="L1323">
        <v>0.41698717948717939</v>
      </c>
      <c r="M1323" t="s">
        <v>18</v>
      </c>
    </row>
    <row r="1324" spans="1:13" x14ac:dyDescent="0.3">
      <c r="A1324" t="s">
        <v>2865</v>
      </c>
      <c r="B1324" t="s">
        <v>2866</v>
      </c>
      <c r="C1324" t="s">
        <v>1219</v>
      </c>
      <c r="D1324" t="s">
        <v>2867</v>
      </c>
      <c r="E1324">
        <v>3300</v>
      </c>
      <c r="F1324">
        <v>1982.84</v>
      </c>
      <c r="G1324">
        <v>40</v>
      </c>
      <c r="H1324">
        <v>1317.16</v>
      </c>
      <c r="I1324" t="s">
        <v>167</v>
      </c>
      <c r="J1324">
        <v>4.0999999999999996</v>
      </c>
      <c r="K1324">
        <v>5873</v>
      </c>
      <c r="L1324">
        <v>0.2242690058479532</v>
      </c>
      <c r="M1324" t="s">
        <v>18</v>
      </c>
    </row>
    <row r="1325" spans="1:13" x14ac:dyDescent="0.3">
      <c r="A1325" t="s">
        <v>2868</v>
      </c>
      <c r="B1325" t="s">
        <v>2869</v>
      </c>
      <c r="C1325" t="s">
        <v>1219</v>
      </c>
      <c r="D1325" t="s">
        <v>2212</v>
      </c>
      <c r="E1325">
        <v>400</v>
      </c>
      <c r="F1325">
        <v>199</v>
      </c>
      <c r="G1325">
        <v>50</v>
      </c>
      <c r="H1325">
        <v>201</v>
      </c>
      <c r="I1325" t="s">
        <v>17</v>
      </c>
      <c r="J1325">
        <v>4.0999999999999996</v>
      </c>
      <c r="K1325">
        <v>1379</v>
      </c>
      <c r="L1325">
        <v>0.55018518518518511</v>
      </c>
      <c r="M1325" t="s">
        <v>18</v>
      </c>
    </row>
    <row r="1326" spans="1:13" x14ac:dyDescent="0.3">
      <c r="A1326" t="s">
        <v>2870</v>
      </c>
      <c r="B1326" t="s">
        <v>2871</v>
      </c>
      <c r="C1326" t="s">
        <v>1219</v>
      </c>
      <c r="D1326" t="s">
        <v>1966</v>
      </c>
      <c r="E1326">
        <v>1440</v>
      </c>
      <c r="F1326">
        <v>1180</v>
      </c>
      <c r="G1326">
        <v>18</v>
      </c>
      <c r="H1326">
        <v>260</v>
      </c>
      <c r="I1326" t="s">
        <v>64</v>
      </c>
      <c r="J1326">
        <v>4.2</v>
      </c>
      <c r="K1326">
        <v>1527</v>
      </c>
      <c r="L1326">
        <v>0.1242171717171717</v>
      </c>
      <c r="M1326" t="s">
        <v>18</v>
      </c>
    </row>
    <row r="1327" spans="1:13" x14ac:dyDescent="0.3">
      <c r="A1327" t="s">
        <v>2872</v>
      </c>
      <c r="B1327" t="s">
        <v>2873</v>
      </c>
      <c r="C1327" t="s">
        <v>1219</v>
      </c>
      <c r="D1327" t="s">
        <v>2137</v>
      </c>
      <c r="E1327">
        <v>3045</v>
      </c>
      <c r="F1327">
        <v>2199</v>
      </c>
      <c r="G1327">
        <v>28</v>
      </c>
      <c r="H1327">
        <v>846</v>
      </c>
      <c r="I1327" t="s">
        <v>167</v>
      </c>
      <c r="J1327">
        <v>4.2</v>
      </c>
      <c r="K1327">
        <v>2686</v>
      </c>
      <c r="L1327">
        <v>0.39833333333333337</v>
      </c>
      <c r="M1327" t="s">
        <v>18</v>
      </c>
    </row>
    <row r="1328" spans="1:13" x14ac:dyDescent="0.3">
      <c r="A1328" t="s">
        <v>2874</v>
      </c>
      <c r="B1328" t="s">
        <v>2875</v>
      </c>
      <c r="C1328" t="s">
        <v>1219</v>
      </c>
      <c r="D1328" t="s">
        <v>2207</v>
      </c>
      <c r="E1328">
        <v>3595</v>
      </c>
      <c r="F1328">
        <v>2999</v>
      </c>
      <c r="G1328">
        <v>17</v>
      </c>
      <c r="H1328">
        <v>596</v>
      </c>
      <c r="I1328" t="s">
        <v>167</v>
      </c>
      <c r="J1328">
        <v>4</v>
      </c>
      <c r="K1328">
        <v>178</v>
      </c>
      <c r="L1328">
        <v>0.1787878787878788</v>
      </c>
      <c r="M1328" t="s">
        <v>18</v>
      </c>
    </row>
    <row r="1329" spans="1:13" x14ac:dyDescent="0.3">
      <c r="A1329" t="s">
        <v>2876</v>
      </c>
      <c r="B1329" t="s">
        <v>2877</v>
      </c>
      <c r="C1329" t="s">
        <v>1219</v>
      </c>
      <c r="D1329" t="s">
        <v>2878</v>
      </c>
      <c r="E1329">
        <v>500</v>
      </c>
      <c r="F1329">
        <v>253</v>
      </c>
      <c r="G1329">
        <v>49</v>
      </c>
      <c r="H1329">
        <v>247</v>
      </c>
      <c r="I1329" t="s">
        <v>17</v>
      </c>
      <c r="J1329">
        <v>4.3</v>
      </c>
      <c r="K1329">
        <v>2664</v>
      </c>
      <c r="L1329">
        <v>0.1171296296296296</v>
      </c>
      <c r="M1329" t="s">
        <v>18</v>
      </c>
    </row>
    <row r="1330" spans="1:13" x14ac:dyDescent="0.3">
      <c r="A1330" t="s">
        <v>2879</v>
      </c>
      <c r="B1330" t="s">
        <v>2880</v>
      </c>
      <c r="C1330" t="s">
        <v>1219</v>
      </c>
      <c r="D1330" t="s">
        <v>2525</v>
      </c>
      <c r="E1330">
        <v>799</v>
      </c>
      <c r="F1330">
        <v>499</v>
      </c>
      <c r="G1330">
        <v>38</v>
      </c>
      <c r="H1330">
        <v>300</v>
      </c>
      <c r="I1330" t="s">
        <v>17</v>
      </c>
      <c r="J1330">
        <v>3.6</v>
      </c>
      <c r="K1330">
        <v>212</v>
      </c>
      <c r="L1330">
        <v>0.24</v>
      </c>
      <c r="M1330" t="s">
        <v>18</v>
      </c>
    </row>
    <row r="1331" spans="1:13" x14ac:dyDescent="0.3">
      <c r="A1331" t="s">
        <v>2881</v>
      </c>
      <c r="B1331" t="s">
        <v>2882</v>
      </c>
      <c r="C1331" t="s">
        <v>1219</v>
      </c>
      <c r="D1331" t="s">
        <v>1969</v>
      </c>
      <c r="E1331">
        <v>1899</v>
      </c>
      <c r="F1331">
        <v>1149</v>
      </c>
      <c r="G1331">
        <v>39</v>
      </c>
      <c r="H1331">
        <v>750</v>
      </c>
      <c r="I1331" t="s">
        <v>64</v>
      </c>
      <c r="J1331">
        <v>3.5</v>
      </c>
      <c r="K1331">
        <v>24</v>
      </c>
      <c r="L1331">
        <v>0.24528806584362139</v>
      </c>
      <c r="M1331" t="s">
        <v>18</v>
      </c>
    </row>
    <row r="1332" spans="1:13" x14ac:dyDescent="0.3">
      <c r="A1332" t="s">
        <v>2883</v>
      </c>
      <c r="B1332" t="s">
        <v>2884</v>
      </c>
      <c r="C1332" t="s">
        <v>1219</v>
      </c>
      <c r="D1332" t="s">
        <v>2004</v>
      </c>
      <c r="E1332">
        <v>799</v>
      </c>
      <c r="F1332">
        <v>457</v>
      </c>
      <c r="G1332">
        <v>43</v>
      </c>
      <c r="H1332">
        <v>342</v>
      </c>
      <c r="I1332" t="s">
        <v>17</v>
      </c>
      <c r="J1332">
        <v>4.3</v>
      </c>
      <c r="K1332">
        <v>1868</v>
      </c>
      <c r="L1332">
        <v>0.6333333333333333</v>
      </c>
      <c r="M1332" t="s">
        <v>18</v>
      </c>
    </row>
    <row r="1333" spans="1:13" x14ac:dyDescent="0.3">
      <c r="A1333" t="s">
        <v>2885</v>
      </c>
      <c r="B1333" t="s">
        <v>2886</v>
      </c>
      <c r="C1333" t="s">
        <v>1219</v>
      </c>
      <c r="D1333" t="s">
        <v>2516</v>
      </c>
      <c r="E1333">
        <v>399</v>
      </c>
      <c r="F1333">
        <v>229</v>
      </c>
      <c r="G1333">
        <v>43</v>
      </c>
      <c r="H1333">
        <v>170</v>
      </c>
      <c r="I1333" t="s">
        <v>17</v>
      </c>
      <c r="J1333">
        <v>3.6</v>
      </c>
      <c r="K1333">
        <v>451</v>
      </c>
      <c r="L1333">
        <v>0.2266666666666666</v>
      </c>
      <c r="M1333" t="s">
        <v>18</v>
      </c>
    </row>
    <row r="1334" spans="1:13" x14ac:dyDescent="0.3">
      <c r="A1334" t="s">
        <v>2887</v>
      </c>
      <c r="B1334" t="s">
        <v>2888</v>
      </c>
      <c r="C1334" t="s">
        <v>1219</v>
      </c>
      <c r="D1334" t="s">
        <v>2212</v>
      </c>
      <c r="E1334">
        <v>699</v>
      </c>
      <c r="F1334">
        <v>199</v>
      </c>
      <c r="G1334">
        <v>72</v>
      </c>
      <c r="H1334">
        <v>500</v>
      </c>
      <c r="I1334" t="s">
        <v>17</v>
      </c>
      <c r="J1334">
        <v>2.9</v>
      </c>
      <c r="K1334">
        <v>159</v>
      </c>
      <c r="L1334">
        <v>5.3385416666666602E-2</v>
      </c>
      <c r="M1334" t="s">
        <v>103</v>
      </c>
    </row>
    <row r="1335" spans="1:13" x14ac:dyDescent="0.3">
      <c r="A1335" t="s">
        <v>2889</v>
      </c>
      <c r="B1335" t="s">
        <v>2890</v>
      </c>
      <c r="C1335" t="s">
        <v>1219</v>
      </c>
      <c r="D1335" t="s">
        <v>2706</v>
      </c>
      <c r="E1335">
        <v>1999</v>
      </c>
      <c r="F1335">
        <v>899</v>
      </c>
      <c r="G1335">
        <v>55</v>
      </c>
      <c r="H1335">
        <v>1100</v>
      </c>
      <c r="I1335" t="s">
        <v>64</v>
      </c>
      <c r="J1335">
        <v>4.2</v>
      </c>
      <c r="K1335">
        <v>39</v>
      </c>
      <c r="L1335">
        <v>0.44530753968253961</v>
      </c>
      <c r="M1335" t="s">
        <v>18</v>
      </c>
    </row>
    <row r="1336" spans="1:13" x14ac:dyDescent="0.3">
      <c r="A1336" t="s">
        <v>2891</v>
      </c>
      <c r="B1336" t="s">
        <v>2892</v>
      </c>
      <c r="C1336" t="s">
        <v>1219</v>
      </c>
      <c r="D1336" t="s">
        <v>2367</v>
      </c>
      <c r="E1336">
        <v>2199</v>
      </c>
      <c r="F1336">
        <v>1499</v>
      </c>
      <c r="G1336">
        <v>32</v>
      </c>
      <c r="H1336">
        <v>700</v>
      </c>
      <c r="I1336" t="s">
        <v>64</v>
      </c>
      <c r="J1336">
        <v>4.4000000000000004</v>
      </c>
      <c r="K1336">
        <v>6531</v>
      </c>
      <c r="L1336">
        <v>0.30333333333333329</v>
      </c>
      <c r="M1336" t="s">
        <v>18</v>
      </c>
    </row>
    <row r="1337" spans="1:13" x14ac:dyDescent="0.3">
      <c r="A1337" t="s">
        <v>2893</v>
      </c>
      <c r="B1337" t="s">
        <v>2894</v>
      </c>
      <c r="C1337" t="s">
        <v>1219</v>
      </c>
      <c r="D1337" t="s">
        <v>2001</v>
      </c>
      <c r="E1337">
        <v>999</v>
      </c>
      <c r="F1337">
        <v>426</v>
      </c>
      <c r="G1337">
        <v>57</v>
      </c>
      <c r="H1337">
        <v>573</v>
      </c>
      <c r="I1337" t="s">
        <v>17</v>
      </c>
      <c r="J1337">
        <v>4.0999999999999996</v>
      </c>
      <c r="K1337">
        <v>222</v>
      </c>
      <c r="L1337">
        <v>0.25686274509803919</v>
      </c>
      <c r="M1337" t="s">
        <v>18</v>
      </c>
    </row>
    <row r="1338" spans="1:13" x14ac:dyDescent="0.3">
      <c r="A1338" t="s">
        <v>2895</v>
      </c>
      <c r="B1338" t="s">
        <v>2896</v>
      </c>
      <c r="C1338" t="s">
        <v>1219</v>
      </c>
      <c r="D1338" t="s">
        <v>1972</v>
      </c>
      <c r="E1338">
        <v>3290</v>
      </c>
      <c r="F1338">
        <v>2320</v>
      </c>
      <c r="G1338">
        <v>29</v>
      </c>
      <c r="H1338">
        <v>970</v>
      </c>
      <c r="I1338" t="s">
        <v>167</v>
      </c>
      <c r="J1338">
        <v>3.8</v>
      </c>
      <c r="K1338">
        <v>195</v>
      </c>
      <c r="L1338">
        <v>0.44750000000000001</v>
      </c>
      <c r="M1338" t="s">
        <v>18</v>
      </c>
    </row>
    <row r="1339" spans="1:13" x14ac:dyDescent="0.3">
      <c r="A1339" t="s">
        <v>2897</v>
      </c>
      <c r="B1339" t="s">
        <v>2898</v>
      </c>
      <c r="C1339" t="s">
        <v>1219</v>
      </c>
      <c r="D1339" t="s">
        <v>2347</v>
      </c>
      <c r="E1339">
        <v>3098</v>
      </c>
      <c r="F1339">
        <v>1563</v>
      </c>
      <c r="G1339">
        <v>50</v>
      </c>
      <c r="H1339">
        <v>1535</v>
      </c>
      <c r="I1339" t="s">
        <v>167</v>
      </c>
      <c r="J1339">
        <v>3.5</v>
      </c>
      <c r="K1339">
        <v>2283</v>
      </c>
      <c r="L1339">
        <v>0.1645833333333333</v>
      </c>
      <c r="M1339" t="s">
        <v>18</v>
      </c>
    </row>
    <row r="1340" spans="1:13" x14ac:dyDescent="0.3">
      <c r="A1340" t="s">
        <v>2899</v>
      </c>
      <c r="B1340" t="s">
        <v>2900</v>
      </c>
      <c r="C1340" t="s">
        <v>1219</v>
      </c>
      <c r="D1340" t="s">
        <v>1969</v>
      </c>
      <c r="E1340">
        <v>4990</v>
      </c>
      <c r="F1340">
        <v>3487.77</v>
      </c>
      <c r="G1340">
        <v>30</v>
      </c>
      <c r="H1340">
        <v>1502.23</v>
      </c>
      <c r="I1340" t="s">
        <v>167</v>
      </c>
      <c r="J1340">
        <v>4.0999999999999996</v>
      </c>
      <c r="K1340">
        <v>1127</v>
      </c>
      <c r="L1340">
        <v>0.1781372549019607</v>
      </c>
      <c r="M1340" t="s">
        <v>18</v>
      </c>
    </row>
    <row r="1341" spans="1:13" x14ac:dyDescent="0.3">
      <c r="A1341" t="s">
        <v>2901</v>
      </c>
      <c r="B1341" t="s">
        <v>2902</v>
      </c>
      <c r="C1341" t="s">
        <v>1219</v>
      </c>
      <c r="D1341" t="s">
        <v>2114</v>
      </c>
      <c r="E1341">
        <v>1200</v>
      </c>
      <c r="F1341">
        <v>498</v>
      </c>
      <c r="G1341">
        <v>59</v>
      </c>
      <c r="H1341">
        <v>702</v>
      </c>
      <c r="I1341" t="s">
        <v>17</v>
      </c>
      <c r="J1341">
        <v>3.2</v>
      </c>
      <c r="K1341">
        <v>113</v>
      </c>
      <c r="L1341">
        <v>-0.05</v>
      </c>
      <c r="M1341" t="s">
        <v>103</v>
      </c>
    </row>
    <row r="1342" spans="1:13" x14ac:dyDescent="0.3">
      <c r="A1342" t="s">
        <v>2903</v>
      </c>
      <c r="B1342" t="s">
        <v>2904</v>
      </c>
      <c r="C1342" t="s">
        <v>1219</v>
      </c>
      <c r="D1342" t="s">
        <v>1966</v>
      </c>
      <c r="E1342">
        <v>2695</v>
      </c>
      <c r="F1342">
        <v>2695</v>
      </c>
      <c r="G1342">
        <v>0</v>
      </c>
      <c r="H1342">
        <v>0</v>
      </c>
      <c r="I1342" t="s">
        <v>167</v>
      </c>
      <c r="J1342">
        <v>4.4000000000000004</v>
      </c>
      <c r="K1342">
        <v>2518</v>
      </c>
      <c r="L1342">
        <v>0.1833522727272727</v>
      </c>
      <c r="M1342" t="s">
        <v>18</v>
      </c>
    </row>
    <row r="1343" spans="1:13" x14ac:dyDescent="0.3">
      <c r="A1343" t="s">
        <v>2905</v>
      </c>
      <c r="B1343" t="s">
        <v>2906</v>
      </c>
      <c r="C1343" t="s">
        <v>1219</v>
      </c>
      <c r="D1343" t="s">
        <v>1969</v>
      </c>
      <c r="E1343">
        <v>2299</v>
      </c>
      <c r="F1343">
        <v>949</v>
      </c>
      <c r="G1343">
        <v>59</v>
      </c>
      <c r="H1343">
        <v>1350</v>
      </c>
      <c r="I1343" t="s">
        <v>64</v>
      </c>
      <c r="J1343">
        <v>3.6</v>
      </c>
      <c r="K1343">
        <v>550</v>
      </c>
      <c r="L1343">
        <v>0.30799999999999988</v>
      </c>
      <c r="M1343" t="s">
        <v>18</v>
      </c>
    </row>
    <row r="1344" spans="1:13" x14ac:dyDescent="0.3">
      <c r="A1344" t="s">
        <v>2907</v>
      </c>
      <c r="B1344" t="s">
        <v>2908</v>
      </c>
      <c r="C1344" t="s">
        <v>1219</v>
      </c>
      <c r="D1344" t="s">
        <v>1975</v>
      </c>
      <c r="E1344">
        <v>999</v>
      </c>
      <c r="F1344">
        <v>199</v>
      </c>
      <c r="G1344">
        <v>80</v>
      </c>
      <c r="H1344">
        <v>800</v>
      </c>
      <c r="I1344" t="s">
        <v>17</v>
      </c>
      <c r="J1344">
        <v>3.1</v>
      </c>
      <c r="K1344">
        <v>2</v>
      </c>
      <c r="L1344">
        <v>0.29848484848484841</v>
      </c>
      <c r="M1344" t="s">
        <v>18</v>
      </c>
    </row>
    <row r="1345" spans="1:13" x14ac:dyDescent="0.3">
      <c r="A1345" t="s">
        <v>2909</v>
      </c>
      <c r="B1345" t="s">
        <v>2910</v>
      </c>
      <c r="C1345" t="s">
        <v>1219</v>
      </c>
      <c r="D1345" t="s">
        <v>2212</v>
      </c>
      <c r="E1345">
        <v>919</v>
      </c>
      <c r="F1345">
        <v>379</v>
      </c>
      <c r="G1345">
        <v>59</v>
      </c>
      <c r="H1345">
        <v>540</v>
      </c>
      <c r="I1345" t="s">
        <v>17</v>
      </c>
      <c r="J1345">
        <v>4</v>
      </c>
      <c r="K1345">
        <v>1090</v>
      </c>
      <c r="L1345">
        <v>0.32380952380952382</v>
      </c>
      <c r="M1345" t="s">
        <v>18</v>
      </c>
    </row>
    <row r="1346" spans="1:13" x14ac:dyDescent="0.3">
      <c r="A1346" t="s">
        <v>2911</v>
      </c>
      <c r="B1346" t="s">
        <v>2912</v>
      </c>
      <c r="C1346" t="s">
        <v>1219</v>
      </c>
      <c r="D1346" t="s">
        <v>2226</v>
      </c>
      <c r="E1346">
        <v>3045</v>
      </c>
      <c r="F1346">
        <v>2280</v>
      </c>
      <c r="G1346">
        <v>25</v>
      </c>
      <c r="H1346">
        <v>765</v>
      </c>
      <c r="I1346" t="s">
        <v>167</v>
      </c>
      <c r="J1346">
        <v>4.0999999999999996</v>
      </c>
      <c r="K1346">
        <v>4118</v>
      </c>
      <c r="L1346">
        <v>0.14208333333333331</v>
      </c>
      <c r="M1346" t="s">
        <v>18</v>
      </c>
    </row>
    <row r="1347" spans="1:13" x14ac:dyDescent="0.3">
      <c r="A1347" t="s">
        <v>2913</v>
      </c>
      <c r="B1347" t="s">
        <v>2914</v>
      </c>
      <c r="C1347" t="s">
        <v>1219</v>
      </c>
      <c r="D1347" t="s">
        <v>2178</v>
      </c>
      <c r="E1347">
        <v>3080</v>
      </c>
      <c r="F1347">
        <v>2219</v>
      </c>
      <c r="G1347">
        <v>28</v>
      </c>
      <c r="H1347">
        <v>861</v>
      </c>
      <c r="I1347" t="s">
        <v>167</v>
      </c>
      <c r="J1347">
        <v>3.6</v>
      </c>
      <c r="K1347">
        <v>468</v>
      </c>
      <c r="L1347">
        <v>0.2128571428571428</v>
      </c>
      <c r="M1347" t="s">
        <v>18</v>
      </c>
    </row>
    <row r="1348" spans="1:13" x14ac:dyDescent="0.3">
      <c r="A1348" t="s">
        <v>2915</v>
      </c>
      <c r="B1348" t="s">
        <v>2916</v>
      </c>
      <c r="C1348" t="s">
        <v>1219</v>
      </c>
      <c r="D1348" t="s">
        <v>2202</v>
      </c>
      <c r="E1348">
        <v>1890</v>
      </c>
      <c r="F1348">
        <v>1399</v>
      </c>
      <c r="G1348">
        <v>26</v>
      </c>
      <c r="H1348">
        <v>491</v>
      </c>
      <c r="I1348" t="s">
        <v>64</v>
      </c>
      <c r="J1348">
        <v>4</v>
      </c>
      <c r="K1348">
        <v>8031</v>
      </c>
      <c r="L1348">
        <v>-0.17016666666666669</v>
      </c>
      <c r="M1348" t="s">
        <v>69</v>
      </c>
    </row>
    <row r="1349" spans="1:13" x14ac:dyDescent="0.3">
      <c r="A1349" t="s">
        <v>2917</v>
      </c>
      <c r="B1349" t="s">
        <v>2918</v>
      </c>
      <c r="C1349" t="s">
        <v>1219</v>
      </c>
      <c r="D1349" t="s">
        <v>2087</v>
      </c>
      <c r="E1349">
        <v>3690</v>
      </c>
      <c r="F1349">
        <v>2863</v>
      </c>
      <c r="G1349">
        <v>22</v>
      </c>
      <c r="H1349">
        <v>827</v>
      </c>
      <c r="I1349" t="s">
        <v>167</v>
      </c>
      <c r="J1349">
        <v>4.3</v>
      </c>
      <c r="K1349">
        <v>6987</v>
      </c>
      <c r="L1349">
        <v>0.31813725490196071</v>
      </c>
      <c r="M1349"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tabSelected="1" topLeftCell="G15" zoomScale="177" workbookViewId="0">
      <selection activeCell="G22" sqref="G22"/>
    </sheetView>
  </sheetViews>
  <sheetFormatPr defaultRowHeight="14.4" x14ac:dyDescent="0.3"/>
  <cols>
    <col min="1" max="1" width="24" customWidth="1"/>
    <col min="2" max="2" width="14" customWidth="1"/>
    <col min="3" max="3" width="20" customWidth="1"/>
    <col min="4" max="4" width="16" customWidth="1"/>
    <col min="5" max="5" width="12" customWidth="1"/>
    <col min="6" max="6" width="14" customWidth="1"/>
  </cols>
  <sheetData>
    <row r="1" spans="1:6" ht="17.399999999999999" x14ac:dyDescent="0.3">
      <c r="A1" s="2" t="s">
        <v>2919</v>
      </c>
    </row>
    <row r="3" spans="1:6" x14ac:dyDescent="0.3">
      <c r="A3" s="1" t="s">
        <v>2920</v>
      </c>
      <c r="B3" s="1" t="s">
        <v>2921</v>
      </c>
      <c r="C3" s="1" t="s">
        <v>2922</v>
      </c>
      <c r="D3" s="1" t="s">
        <v>2923</v>
      </c>
      <c r="E3" s="1" t="s">
        <v>2924</v>
      </c>
      <c r="F3" s="1" t="s">
        <v>2925</v>
      </c>
    </row>
    <row r="4" spans="1:6" x14ac:dyDescent="0.3">
      <c r="A4" t="s">
        <v>2273</v>
      </c>
      <c r="B4">
        <f>COUNTIF(Data!$C$2:$C$1349,A4)</f>
        <v>1</v>
      </c>
      <c r="C4">
        <f>ROUND(AVERAGEIF(Data!$C$2:$C$1349,A4,Data!$F$2:$F$1349),0)</f>
        <v>2339</v>
      </c>
      <c r="D4">
        <f>ROUND(AVERAGEIF(Data!$C$2:$C$1349,A4,Data!$G$2:$G$1349),1)</f>
        <v>42</v>
      </c>
      <c r="E4">
        <f>ROUND(AVERAGEIF(Data!$C$2:$C$1349,A4,Data!$J$2:$J$1349),2)</f>
        <v>3.8</v>
      </c>
      <c r="F4">
        <f>SUMIF(Data!$C$2:$C$1349,A4,Data!$K$2:$K$1349)</f>
        <v>1118</v>
      </c>
    </row>
    <row r="5" spans="1:6" x14ac:dyDescent="0.3">
      <c r="A5" t="s">
        <v>15</v>
      </c>
      <c r="B5">
        <f>COUNTIF(Data!$C$2:$C$1349,A5)</f>
        <v>373</v>
      </c>
      <c r="C5">
        <f>ROUND(AVERAGEIF(Data!$C$2:$C$1349,A5,Data!$F$2:$F$1349),0)</f>
        <v>951</v>
      </c>
      <c r="D5">
        <f>ROUND(AVERAGEIF(Data!$C$2:$C$1349,A5,Data!$G$2:$G$1349),1)</f>
        <v>53.1</v>
      </c>
      <c r="E5">
        <f>ROUND(AVERAGEIF(Data!$C$2:$C$1349,A5,Data!$J$2:$J$1349),2)</f>
        <v>4.1500000000000004</v>
      </c>
      <c r="F5">
        <f>SUMIF(Data!$C$2:$C$1349,A5,Data!$K$2:$K$1349)</f>
        <v>6335177</v>
      </c>
    </row>
    <row r="6" spans="1:6" x14ac:dyDescent="0.3">
      <c r="A6" t="s">
        <v>44</v>
      </c>
      <c r="B6">
        <f>COUNTIF(Data!$C$2:$C$1349,A6)</f>
        <v>490</v>
      </c>
      <c r="C6">
        <f>ROUND(AVERAGEIF(Data!$C$2:$C$1349,A6,Data!$F$2:$F$1349),0)</f>
        <v>6226</v>
      </c>
      <c r="D6">
        <f>ROUND(AVERAGEIF(Data!$C$2:$C$1349,A6,Data!$G$2:$G$1349),1)</f>
        <v>49.9</v>
      </c>
      <c r="E6">
        <f>ROUND(AVERAGEIF(Data!$C$2:$C$1349,A6,Data!$J$2:$J$1349),2)</f>
        <v>4.08</v>
      </c>
      <c r="F6">
        <f>SUMIF(Data!$C$2:$C$1349,A6,Data!$K$2:$K$1349)</f>
        <v>14208406</v>
      </c>
    </row>
    <row r="7" spans="1:6" x14ac:dyDescent="0.3">
      <c r="A7" t="s">
        <v>2466</v>
      </c>
      <c r="B7">
        <f>COUNTIF(Data!$C$2:$C$1349,A7)</f>
        <v>1</v>
      </c>
      <c r="C7">
        <f>ROUND(AVERAGEIF(Data!$C$2:$C$1349,A7,Data!$F$2:$F$1349),0)</f>
        <v>899</v>
      </c>
      <c r="D7">
        <f>ROUND(AVERAGEIF(Data!$C$2:$C$1349,A7,Data!$G$2:$G$1349),1)</f>
        <v>53</v>
      </c>
      <c r="E7">
        <f>ROUND(AVERAGEIF(Data!$C$2:$C$1349,A7,Data!$J$2:$J$1349),2)</f>
        <v>4</v>
      </c>
      <c r="F7">
        <f>SUMIF(Data!$C$2:$C$1349,A7,Data!$K$2:$K$1349)</f>
        <v>3663</v>
      </c>
    </row>
    <row r="8" spans="1:6" x14ac:dyDescent="0.3">
      <c r="A8" t="s">
        <v>1219</v>
      </c>
      <c r="B8">
        <f>COUNTIF(Data!$C$2:$C$1349,A8)</f>
        <v>447</v>
      </c>
      <c r="C8">
        <f>ROUND(AVERAGEIF(Data!$C$2:$C$1349,A8,Data!$F$2:$F$1349),0)</f>
        <v>2331</v>
      </c>
      <c r="D8">
        <f>ROUND(AVERAGEIF(Data!$C$2:$C$1349,A8,Data!$G$2:$G$1349),1)</f>
        <v>40.200000000000003</v>
      </c>
      <c r="E8">
        <f>ROUND(AVERAGEIF(Data!$C$2:$C$1349,A8,Data!$J$2:$J$1349),2)</f>
        <v>4.04</v>
      </c>
      <c r="F8">
        <f>SUMIF(Data!$C$2:$C$1349,A8,Data!$K$2:$K$1349)</f>
        <v>2990077</v>
      </c>
    </row>
    <row r="9" spans="1:6" x14ac:dyDescent="0.3">
      <c r="A9" t="s">
        <v>1570</v>
      </c>
      <c r="B9">
        <f>COUNTIF(Data!$C$2:$C$1349,A9)</f>
        <v>2</v>
      </c>
      <c r="C9">
        <f>ROUND(AVERAGEIF(Data!$C$2:$C$1349,A9,Data!$F$2:$F$1349),0)</f>
        <v>337</v>
      </c>
      <c r="D9">
        <f>ROUND(AVERAGEIF(Data!$C$2:$C$1349,A9,Data!$G$2:$G$1349),1)</f>
        <v>57.5</v>
      </c>
      <c r="E9">
        <f>ROUND(AVERAGEIF(Data!$C$2:$C$1349,A9,Data!$J$2:$J$1349),2)</f>
        <v>4.25</v>
      </c>
      <c r="F9">
        <f>SUMIF(Data!$C$2:$C$1349,A9,Data!$K$2:$K$1349)</f>
        <v>8566</v>
      </c>
    </row>
    <row r="10" spans="1:6" x14ac:dyDescent="0.3">
      <c r="A10" t="s">
        <v>1208</v>
      </c>
      <c r="B10">
        <f>COUNTIF(Data!$C$2:$C$1349,A10)</f>
        <v>2</v>
      </c>
      <c r="C10">
        <f>ROUND(AVERAGEIF(Data!$C$2:$C$1349,A10,Data!$F$2:$F$1349),0)</f>
        <v>638</v>
      </c>
      <c r="D10">
        <f>ROUND(AVERAGEIF(Data!$C$2:$C$1349,A10,Data!$G$2:$G$1349),1)</f>
        <v>46</v>
      </c>
      <c r="E10">
        <f>ROUND(AVERAGEIF(Data!$C$2:$C$1349,A10,Data!$J$2:$J$1349),2)</f>
        <v>3.9</v>
      </c>
      <c r="F10">
        <f>SUMIF(Data!$C$2:$C$1349,A10,Data!$K$2:$K$1349)</f>
        <v>88882</v>
      </c>
    </row>
    <row r="11" spans="1:6" x14ac:dyDescent="0.3">
      <c r="A11" t="s">
        <v>1215</v>
      </c>
      <c r="B11">
        <f>COUNTIF(Data!$C$2:$C$1349,A11)</f>
        <v>31</v>
      </c>
      <c r="C11">
        <f>ROUND(AVERAGEIF(Data!$C$2:$C$1349,A11,Data!$F$2:$F$1349),0)</f>
        <v>302</v>
      </c>
      <c r="D11">
        <f>ROUND(AVERAGEIF(Data!$C$2:$C$1349,A11,Data!$G$2:$G$1349),1)</f>
        <v>12.4</v>
      </c>
      <c r="E11">
        <f>ROUND(AVERAGEIF(Data!$C$2:$C$1349,A11,Data!$J$2:$J$1349),2)</f>
        <v>4.3099999999999996</v>
      </c>
      <c r="F11">
        <f>SUMIF(Data!$C$2:$C$1349,A11,Data!$K$2:$K$1349)</f>
        <v>149675</v>
      </c>
    </row>
    <row r="12" spans="1:6" x14ac:dyDescent="0.3">
      <c r="A12" t="s">
        <v>1794</v>
      </c>
      <c r="B12">
        <f>COUNTIF(Data!$C$2:$C$1349,A12)</f>
        <v>1</v>
      </c>
      <c r="C12">
        <f>ROUND(AVERAGEIF(Data!$C$2:$C$1349,A12,Data!$F$2:$F$1349),0)</f>
        <v>150</v>
      </c>
      <c r="D12">
        <f>ROUND(AVERAGEIF(Data!$C$2:$C$1349,A12,Data!$G$2:$G$1349),1)</f>
        <v>0</v>
      </c>
      <c r="E12">
        <f>ROUND(AVERAGEIF(Data!$C$2:$C$1349,A12,Data!$J$2:$J$1349),2)</f>
        <v>4.3</v>
      </c>
      <c r="F12">
        <f>SUMIF(Data!$C$2:$C$1349,A12,Data!$K$2:$K$1349)</f>
        <v>15867</v>
      </c>
    </row>
    <row r="15" spans="1:6" ht="15.6" x14ac:dyDescent="0.3">
      <c r="A15" s="3" t="s">
        <v>2926</v>
      </c>
    </row>
    <row r="16" spans="1:6" x14ac:dyDescent="0.3">
      <c r="A16" t="s">
        <v>2927</v>
      </c>
      <c r="B16">
        <f>COUNTA(Data!A2:A1349)</f>
        <v>1348</v>
      </c>
    </row>
    <row r="17" spans="1:2" x14ac:dyDescent="0.3">
      <c r="A17" t="s">
        <v>2928</v>
      </c>
      <c r="B17">
        <f>ROUND(AVERAGE(Data!J2:J1349),2)</f>
        <v>4.09</v>
      </c>
    </row>
    <row r="18" spans="1:2" x14ac:dyDescent="0.3">
      <c r="A18" t="s">
        <v>2929</v>
      </c>
      <c r="B18">
        <f>ROUND(AVERAGE(Data!G2:G1349),1)</f>
        <v>46.7</v>
      </c>
    </row>
    <row r="19" spans="1:2" x14ac:dyDescent="0.3">
      <c r="A19" t="s">
        <v>2925</v>
      </c>
      <c r="B19">
        <f>SUM(Data!K2:K1349)</f>
        <v>23801431</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cols>
    <col min="1" max="1" width="18" customWidth="1"/>
    <col min="2" max="2" width="14" customWidth="1"/>
    <col min="3" max="3" width="16" customWidth="1"/>
  </cols>
  <sheetData>
    <row r="1" spans="1:3" ht="17.399999999999999" x14ac:dyDescent="0.3">
      <c r="A1" s="2" t="s">
        <v>2930</v>
      </c>
    </row>
    <row r="3" spans="1:3" x14ac:dyDescent="0.3">
      <c r="A3" s="1" t="s">
        <v>2931</v>
      </c>
      <c r="B3" s="1" t="s">
        <v>2921</v>
      </c>
      <c r="C3" s="1" t="s">
        <v>2932</v>
      </c>
    </row>
    <row r="4" spans="1:3" x14ac:dyDescent="0.3">
      <c r="A4" t="s">
        <v>18</v>
      </c>
      <c r="B4">
        <f>COUNTIF(Data!$M$2:$M$1349,A4)</f>
        <v>1239</v>
      </c>
      <c r="C4">
        <f>ROUND(AVERAGEIF(Data!$M$2:$M$1349,A4,Data!$J$2:$J$1349),2)</f>
        <v>4.1100000000000003</v>
      </c>
    </row>
    <row r="5" spans="1:3" x14ac:dyDescent="0.3">
      <c r="A5" t="s">
        <v>103</v>
      </c>
      <c r="B5">
        <f>COUNTIF(Data!$M$2:$M$1349,A5)</f>
        <v>96</v>
      </c>
      <c r="C5">
        <f>ROUND(AVERAGEIF(Data!$M$2:$M$1349,A5,Data!$J$2:$J$1349),2)</f>
        <v>3.89</v>
      </c>
    </row>
    <row r="6" spans="1:3" x14ac:dyDescent="0.3">
      <c r="A6" t="s">
        <v>69</v>
      </c>
      <c r="B6">
        <f>COUNTIF(Data!$M$2:$M$1349,A6)</f>
        <v>13</v>
      </c>
      <c r="C6">
        <f>ROUND(AVERAGEIF(Data!$M$2:$M$1349,A6,Data!$J$2:$J$1349),2)</f>
        <v>3.95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Summary</vt:lpstr>
      <vt:lpstr>Sentiment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PATEL</cp:lastModifiedBy>
  <dcterms:created xsi:type="dcterms:W3CDTF">2026-08-07T11:50:18Z</dcterms:created>
  <dcterms:modified xsi:type="dcterms:W3CDTF">2026-08-07T12:01:26Z</dcterms:modified>
</cp:coreProperties>
</file>